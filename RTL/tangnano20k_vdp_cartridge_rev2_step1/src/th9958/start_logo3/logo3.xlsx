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start_logo3\"/>
    </mc:Choice>
  </mc:AlternateContent>
  <bookViews>
    <workbookView xWindow="0" yWindow="0" windowWidth="28800" windowHeight="13635" activeTab="5"/>
  </bookViews>
  <sheets>
    <sheet name="LOGO3回転" sheetId="3" r:id="rId1"/>
    <sheet name="LOGO3回転角制限" sheetId="4" r:id="rId2"/>
    <sheet name="LOGO3表示領域拡大" sheetId="5" r:id="rId3"/>
    <sheet name="LOGO3ズーム" sheetId="6" r:id="rId4"/>
    <sheet name="LOGO3バウンド" sheetId="7" r:id="rId5"/>
    <sheet name="LOGO3左右振り" sheetId="8" r:id="rId6"/>
    <sheet name="【参考】ROTATE" sheetId="2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8" l="1"/>
  <c r="K6" i="8"/>
  <c r="L6" i="8" s="1"/>
  <c r="K7" i="8"/>
  <c r="K8" i="8"/>
  <c r="K9" i="8"/>
  <c r="K10" i="8"/>
  <c r="L10" i="8" s="1"/>
  <c r="K11" i="8"/>
  <c r="K12" i="8"/>
  <c r="K13" i="8"/>
  <c r="K14" i="8"/>
  <c r="L14" i="8" s="1"/>
  <c r="K15" i="8"/>
  <c r="K16" i="8"/>
  <c r="K17" i="8"/>
  <c r="K18" i="8"/>
  <c r="L18" i="8" s="1"/>
  <c r="K19" i="8"/>
  <c r="K20" i="8"/>
  <c r="K21" i="8"/>
  <c r="K22" i="8"/>
  <c r="L22" i="8" s="1"/>
  <c r="K23" i="8"/>
  <c r="K24" i="8"/>
  <c r="K25" i="8"/>
  <c r="K26" i="8"/>
  <c r="L26" i="8" s="1"/>
  <c r="K27" i="8"/>
  <c r="K28" i="8"/>
  <c r="K29" i="8"/>
  <c r="K30" i="8"/>
  <c r="L30" i="8" s="1"/>
  <c r="K31" i="8"/>
  <c r="K32" i="8"/>
  <c r="K33" i="8"/>
  <c r="K34" i="8"/>
  <c r="L34" i="8" s="1"/>
  <c r="K35" i="8"/>
  <c r="K36" i="8"/>
  <c r="K37" i="8"/>
  <c r="K38" i="8"/>
  <c r="L38" i="8" s="1"/>
  <c r="K39" i="8"/>
  <c r="K40" i="8"/>
  <c r="K41" i="8"/>
  <c r="K42" i="8"/>
  <c r="L42" i="8" s="1"/>
  <c r="K43" i="8"/>
  <c r="K44" i="8"/>
  <c r="K45" i="8"/>
  <c r="K46" i="8"/>
  <c r="L46" i="8" s="1"/>
  <c r="K47" i="8"/>
  <c r="K48" i="8"/>
  <c r="K49" i="8"/>
  <c r="K50" i="8"/>
  <c r="L50" i="8" s="1"/>
  <c r="K51" i="8"/>
  <c r="K52" i="8"/>
  <c r="K53" i="8"/>
  <c r="K54" i="8"/>
  <c r="L54" i="8" s="1"/>
  <c r="K55" i="8"/>
  <c r="K56" i="8"/>
  <c r="K57" i="8"/>
  <c r="K58" i="8"/>
  <c r="L58" i="8" s="1"/>
  <c r="K59" i="8"/>
  <c r="K60" i="8"/>
  <c r="K61" i="8"/>
  <c r="K62" i="8"/>
  <c r="L62" i="8" s="1"/>
  <c r="K63" i="8"/>
  <c r="K64" i="8"/>
  <c r="K4" i="8"/>
  <c r="Q7" i="8"/>
  <c r="Q11" i="8"/>
  <c r="Q15" i="8"/>
  <c r="Q19" i="8"/>
  <c r="Q23" i="8"/>
  <c r="Q27" i="8"/>
  <c r="Q31" i="8"/>
  <c r="Q35" i="8"/>
  <c r="Q39" i="8"/>
  <c r="Q43" i="8"/>
  <c r="Q47" i="8"/>
  <c r="Q51" i="8"/>
  <c r="Q55" i="8"/>
  <c r="Q59" i="8"/>
  <c r="Q63" i="8"/>
  <c r="L5" i="8"/>
  <c r="Q5" i="8" s="1"/>
  <c r="L7" i="8"/>
  <c r="R7" i="8" s="1"/>
  <c r="L8" i="8"/>
  <c r="Q8" i="8" s="1"/>
  <c r="L9" i="8"/>
  <c r="Q9" i="8" s="1"/>
  <c r="L11" i="8"/>
  <c r="R11" i="8" s="1"/>
  <c r="L12" i="8"/>
  <c r="R12" i="8" s="1"/>
  <c r="L13" i="8"/>
  <c r="Q13" i="8" s="1"/>
  <c r="L15" i="8"/>
  <c r="R15" i="8" s="1"/>
  <c r="L16" i="8"/>
  <c r="Q16" i="8" s="1"/>
  <c r="L17" i="8"/>
  <c r="Q17" i="8" s="1"/>
  <c r="L19" i="8"/>
  <c r="R19" i="8" s="1"/>
  <c r="L20" i="8"/>
  <c r="R20" i="8" s="1"/>
  <c r="L21" i="8"/>
  <c r="Q21" i="8" s="1"/>
  <c r="L23" i="8"/>
  <c r="R23" i="8" s="1"/>
  <c r="L24" i="8"/>
  <c r="Q24" i="8" s="1"/>
  <c r="L25" i="8"/>
  <c r="Q25" i="8" s="1"/>
  <c r="L27" i="8"/>
  <c r="R27" i="8" s="1"/>
  <c r="L28" i="8"/>
  <c r="R28" i="8" s="1"/>
  <c r="L29" i="8"/>
  <c r="Q29" i="8" s="1"/>
  <c r="L31" i="8"/>
  <c r="R31" i="8" s="1"/>
  <c r="L32" i="8"/>
  <c r="Q32" i="8" s="1"/>
  <c r="L33" i="8"/>
  <c r="Q33" i="8" s="1"/>
  <c r="L35" i="8"/>
  <c r="R35" i="8" s="1"/>
  <c r="L36" i="8"/>
  <c r="R36" i="8" s="1"/>
  <c r="L37" i="8"/>
  <c r="Q37" i="8" s="1"/>
  <c r="L39" i="8"/>
  <c r="R39" i="8" s="1"/>
  <c r="L40" i="8"/>
  <c r="Q40" i="8" s="1"/>
  <c r="L41" i="8"/>
  <c r="Q41" i="8" s="1"/>
  <c r="L43" i="8"/>
  <c r="R43" i="8" s="1"/>
  <c r="L44" i="8"/>
  <c r="Q44" i="8" s="1"/>
  <c r="L45" i="8"/>
  <c r="Q45" i="8" s="1"/>
  <c r="L47" i="8"/>
  <c r="R47" i="8" s="1"/>
  <c r="L48" i="8"/>
  <c r="R48" i="8" s="1"/>
  <c r="L49" i="8"/>
  <c r="Q49" i="8" s="1"/>
  <c r="L51" i="8"/>
  <c r="R51" i="8" s="1"/>
  <c r="L52" i="8"/>
  <c r="Q52" i="8" s="1"/>
  <c r="L53" i="8"/>
  <c r="Q53" i="8" s="1"/>
  <c r="L55" i="8"/>
  <c r="R55" i="8" s="1"/>
  <c r="L56" i="8"/>
  <c r="R56" i="8" s="1"/>
  <c r="L57" i="8"/>
  <c r="Q57" i="8" s="1"/>
  <c r="L59" i="8"/>
  <c r="R59" i="8" s="1"/>
  <c r="L60" i="8"/>
  <c r="Q60" i="8" s="1"/>
  <c r="L61" i="8"/>
  <c r="Q61" i="8" s="1"/>
  <c r="L63" i="8"/>
  <c r="R63" i="8" s="1"/>
  <c r="L64" i="8"/>
  <c r="R64" i="8" s="1"/>
  <c r="L4" i="8"/>
  <c r="R4" i="8" s="1"/>
  <c r="U64" i="8"/>
  <c r="O64" i="8"/>
  <c r="I64" i="8"/>
  <c r="H64" i="8"/>
  <c r="J64" i="8" s="1"/>
  <c r="F64" i="8"/>
  <c r="C64" i="8"/>
  <c r="D64" i="8" s="1"/>
  <c r="E64" i="8" s="1"/>
  <c r="G64" i="8" s="1"/>
  <c r="O63" i="8"/>
  <c r="U63" i="8" s="1"/>
  <c r="I63" i="8"/>
  <c r="H63" i="8"/>
  <c r="J63" i="8" s="1"/>
  <c r="D63" i="8"/>
  <c r="E63" i="8" s="1"/>
  <c r="F63" i="8" s="1"/>
  <c r="C63" i="8"/>
  <c r="O62" i="8"/>
  <c r="I62" i="8"/>
  <c r="D62" i="8"/>
  <c r="E62" i="8" s="1"/>
  <c r="C62" i="8"/>
  <c r="H62" i="8" s="1"/>
  <c r="J62" i="8" s="1"/>
  <c r="O61" i="8"/>
  <c r="I61" i="8"/>
  <c r="C61" i="8"/>
  <c r="O60" i="8"/>
  <c r="J60" i="8"/>
  <c r="I60" i="8"/>
  <c r="C60" i="8"/>
  <c r="H60" i="8" s="1"/>
  <c r="O59" i="8"/>
  <c r="I59" i="8"/>
  <c r="C59" i="8"/>
  <c r="U58" i="8"/>
  <c r="O58" i="8"/>
  <c r="I58" i="8"/>
  <c r="H58" i="8"/>
  <c r="G58" i="8"/>
  <c r="E58" i="8"/>
  <c r="F58" i="8" s="1"/>
  <c r="D58" i="8"/>
  <c r="C58" i="8"/>
  <c r="U57" i="8"/>
  <c r="O57" i="8"/>
  <c r="J57" i="8"/>
  <c r="I57" i="8"/>
  <c r="H57" i="8"/>
  <c r="F57" i="8"/>
  <c r="D57" i="8"/>
  <c r="E57" i="8" s="1"/>
  <c r="G57" i="8" s="1"/>
  <c r="V57" i="8" s="1"/>
  <c r="C57" i="8"/>
  <c r="O56" i="8"/>
  <c r="J56" i="8"/>
  <c r="I56" i="8"/>
  <c r="H56" i="8"/>
  <c r="F56" i="8"/>
  <c r="C56" i="8"/>
  <c r="D56" i="8" s="1"/>
  <c r="E56" i="8" s="1"/>
  <c r="G56" i="8" s="1"/>
  <c r="V56" i="8" s="1"/>
  <c r="O55" i="8"/>
  <c r="I55" i="8"/>
  <c r="H55" i="8"/>
  <c r="D55" i="8"/>
  <c r="E55" i="8" s="1"/>
  <c r="F55" i="8" s="1"/>
  <c r="C55" i="8"/>
  <c r="O54" i="8"/>
  <c r="I54" i="8"/>
  <c r="D54" i="8"/>
  <c r="E54" i="8" s="1"/>
  <c r="C54" i="8"/>
  <c r="H54" i="8" s="1"/>
  <c r="J54" i="8" s="1"/>
  <c r="O53" i="8"/>
  <c r="I53" i="8"/>
  <c r="C53" i="8"/>
  <c r="H53" i="8" s="1"/>
  <c r="O52" i="8"/>
  <c r="I52" i="8"/>
  <c r="C52" i="8"/>
  <c r="O51" i="8"/>
  <c r="I51" i="8"/>
  <c r="C51" i="8"/>
  <c r="H51" i="8" s="1"/>
  <c r="J51" i="8" s="1"/>
  <c r="O50" i="8"/>
  <c r="I50" i="8"/>
  <c r="H50" i="8"/>
  <c r="J50" i="8" s="1"/>
  <c r="D50" i="8"/>
  <c r="E50" i="8" s="1"/>
  <c r="G50" i="8" s="1"/>
  <c r="C50" i="8"/>
  <c r="O49" i="8"/>
  <c r="I49" i="8"/>
  <c r="H49" i="8"/>
  <c r="J49" i="8" s="1"/>
  <c r="D49" i="8"/>
  <c r="E49" i="8" s="1"/>
  <c r="C49" i="8"/>
  <c r="O48" i="8"/>
  <c r="I48" i="8"/>
  <c r="H48" i="8"/>
  <c r="J48" i="8" s="1"/>
  <c r="C48" i="8"/>
  <c r="D48" i="8" s="1"/>
  <c r="E48" i="8" s="1"/>
  <c r="G48" i="8" s="1"/>
  <c r="V48" i="8" s="1"/>
  <c r="O47" i="8"/>
  <c r="U47" i="8" s="1"/>
  <c r="I47" i="8"/>
  <c r="H47" i="8"/>
  <c r="J47" i="8" s="1"/>
  <c r="G47" i="8"/>
  <c r="D47" i="8"/>
  <c r="E47" i="8" s="1"/>
  <c r="F47" i="8" s="1"/>
  <c r="C47" i="8"/>
  <c r="O46" i="8"/>
  <c r="I46" i="8"/>
  <c r="H46" i="8"/>
  <c r="J46" i="8" s="1"/>
  <c r="E46" i="8"/>
  <c r="F46" i="8" s="1"/>
  <c r="U46" i="8" s="1"/>
  <c r="C46" i="8"/>
  <c r="D46" i="8" s="1"/>
  <c r="O45" i="8"/>
  <c r="I45" i="8"/>
  <c r="H45" i="8"/>
  <c r="F45" i="8"/>
  <c r="D45" i="8"/>
  <c r="E45" i="8" s="1"/>
  <c r="G45" i="8" s="1"/>
  <c r="V45" i="8" s="1"/>
  <c r="C45" i="8"/>
  <c r="O44" i="8"/>
  <c r="I44" i="8"/>
  <c r="D44" i="8"/>
  <c r="E44" i="8" s="1"/>
  <c r="C44" i="8"/>
  <c r="H44" i="8" s="1"/>
  <c r="J44" i="8" s="1"/>
  <c r="O43" i="8"/>
  <c r="I43" i="8"/>
  <c r="D43" i="8"/>
  <c r="E43" i="8" s="1"/>
  <c r="G43" i="8" s="1"/>
  <c r="C43" i="8"/>
  <c r="H43" i="8" s="1"/>
  <c r="J43" i="8" s="1"/>
  <c r="O42" i="8"/>
  <c r="I42" i="8"/>
  <c r="D42" i="8"/>
  <c r="E42" i="8" s="1"/>
  <c r="C42" i="8"/>
  <c r="H42" i="8" s="1"/>
  <c r="J42" i="8" s="1"/>
  <c r="O41" i="8"/>
  <c r="I41" i="8"/>
  <c r="H41" i="8"/>
  <c r="J41" i="8" s="1"/>
  <c r="E41" i="8"/>
  <c r="D41" i="8"/>
  <c r="C41" i="8"/>
  <c r="O40" i="8"/>
  <c r="I40" i="8"/>
  <c r="C40" i="8"/>
  <c r="O39" i="8"/>
  <c r="I39" i="8"/>
  <c r="J39" i="8" s="1"/>
  <c r="D39" i="8"/>
  <c r="E39" i="8" s="1"/>
  <c r="C39" i="8"/>
  <c r="H39" i="8" s="1"/>
  <c r="O38" i="8"/>
  <c r="I38" i="8"/>
  <c r="C38" i="8"/>
  <c r="U37" i="8"/>
  <c r="O37" i="8"/>
  <c r="I37" i="8"/>
  <c r="H37" i="8"/>
  <c r="J37" i="8" s="1"/>
  <c r="F37" i="8"/>
  <c r="D37" i="8"/>
  <c r="E37" i="8" s="1"/>
  <c r="G37" i="8" s="1"/>
  <c r="V37" i="8" s="1"/>
  <c r="C37" i="8"/>
  <c r="O36" i="8"/>
  <c r="I36" i="8"/>
  <c r="C36" i="8"/>
  <c r="O35" i="8"/>
  <c r="I35" i="8"/>
  <c r="H35" i="8"/>
  <c r="J35" i="8" s="1"/>
  <c r="G35" i="8"/>
  <c r="E35" i="8"/>
  <c r="F35" i="8" s="1"/>
  <c r="C35" i="8"/>
  <c r="D35" i="8" s="1"/>
  <c r="O34" i="8"/>
  <c r="I34" i="8"/>
  <c r="H34" i="8"/>
  <c r="J34" i="8" s="1"/>
  <c r="E34" i="8"/>
  <c r="D34" i="8"/>
  <c r="C34" i="8"/>
  <c r="O33" i="8"/>
  <c r="I33" i="8"/>
  <c r="H33" i="8"/>
  <c r="E33" i="8"/>
  <c r="D33" i="8"/>
  <c r="C33" i="8"/>
  <c r="O32" i="8"/>
  <c r="I32" i="8"/>
  <c r="E32" i="8"/>
  <c r="C32" i="8"/>
  <c r="D32" i="8" s="1"/>
  <c r="O31" i="8"/>
  <c r="I31" i="8"/>
  <c r="H31" i="8"/>
  <c r="J31" i="8" s="1"/>
  <c r="F31" i="8"/>
  <c r="S31" i="8" s="1"/>
  <c r="W31" i="8" s="1"/>
  <c r="C31" i="8"/>
  <c r="D31" i="8" s="1"/>
  <c r="E31" i="8" s="1"/>
  <c r="G31" i="8" s="1"/>
  <c r="O30" i="8"/>
  <c r="I30" i="8"/>
  <c r="E30" i="8"/>
  <c r="C30" i="8"/>
  <c r="D30" i="8" s="1"/>
  <c r="O29" i="8"/>
  <c r="J29" i="8"/>
  <c r="I29" i="8"/>
  <c r="D29" i="8"/>
  <c r="E29" i="8" s="1"/>
  <c r="C29" i="8"/>
  <c r="H29" i="8" s="1"/>
  <c r="O28" i="8"/>
  <c r="I28" i="8"/>
  <c r="J28" i="8" s="1"/>
  <c r="C28" i="8"/>
  <c r="H28" i="8" s="1"/>
  <c r="O27" i="8"/>
  <c r="I27" i="8"/>
  <c r="C27" i="8"/>
  <c r="D27" i="8" s="1"/>
  <c r="E27" i="8" s="1"/>
  <c r="O26" i="8"/>
  <c r="I26" i="8"/>
  <c r="D26" i="8"/>
  <c r="E26" i="8" s="1"/>
  <c r="C26" i="8"/>
  <c r="H26" i="8" s="1"/>
  <c r="U25" i="8"/>
  <c r="O25" i="8"/>
  <c r="I25" i="8"/>
  <c r="J25" i="8" s="1"/>
  <c r="H25" i="8"/>
  <c r="G25" i="8"/>
  <c r="D25" i="8"/>
  <c r="E25" i="8" s="1"/>
  <c r="F25" i="8" s="1"/>
  <c r="C25" i="8"/>
  <c r="O24" i="8"/>
  <c r="I24" i="8"/>
  <c r="C24" i="8"/>
  <c r="O23" i="8"/>
  <c r="J23" i="8"/>
  <c r="I23" i="8"/>
  <c r="H23" i="8"/>
  <c r="F23" i="8"/>
  <c r="D23" i="8"/>
  <c r="E23" i="8" s="1"/>
  <c r="G23" i="8" s="1"/>
  <c r="C23" i="8"/>
  <c r="O22" i="8"/>
  <c r="I22" i="8"/>
  <c r="D22" i="8"/>
  <c r="E22" i="8" s="1"/>
  <c r="C22" i="8"/>
  <c r="H22" i="8" s="1"/>
  <c r="J22" i="8" s="1"/>
  <c r="O21" i="8"/>
  <c r="I21" i="8"/>
  <c r="H21" i="8"/>
  <c r="J21" i="8" s="1"/>
  <c r="E21" i="8"/>
  <c r="C21" i="8"/>
  <c r="D21" i="8" s="1"/>
  <c r="O20" i="8"/>
  <c r="I20" i="8"/>
  <c r="C20" i="8"/>
  <c r="O19" i="8"/>
  <c r="I19" i="8"/>
  <c r="C19" i="8"/>
  <c r="O18" i="8"/>
  <c r="I18" i="8"/>
  <c r="D18" i="8"/>
  <c r="E18" i="8" s="1"/>
  <c r="G18" i="8" s="1"/>
  <c r="C18" i="8"/>
  <c r="H18" i="8" s="1"/>
  <c r="O17" i="8"/>
  <c r="I17" i="8"/>
  <c r="H17" i="8"/>
  <c r="F17" i="8"/>
  <c r="D17" i="8"/>
  <c r="E17" i="8" s="1"/>
  <c r="G17" i="8" s="1"/>
  <c r="V17" i="8" s="1"/>
  <c r="C17" i="8"/>
  <c r="V16" i="8"/>
  <c r="O16" i="8"/>
  <c r="I16" i="8"/>
  <c r="H16" i="8"/>
  <c r="J16" i="8" s="1"/>
  <c r="F16" i="8"/>
  <c r="D16" i="8"/>
  <c r="E16" i="8" s="1"/>
  <c r="G16" i="8" s="1"/>
  <c r="C16" i="8"/>
  <c r="O15" i="8"/>
  <c r="I15" i="8"/>
  <c r="C15" i="8"/>
  <c r="O14" i="8"/>
  <c r="I14" i="8"/>
  <c r="C14" i="8"/>
  <c r="O13" i="8"/>
  <c r="I13" i="8"/>
  <c r="H13" i="8"/>
  <c r="J13" i="8" s="1"/>
  <c r="D13" i="8"/>
  <c r="E13" i="8" s="1"/>
  <c r="C13" i="8"/>
  <c r="O12" i="8"/>
  <c r="J12" i="8"/>
  <c r="I12" i="8"/>
  <c r="H12" i="8"/>
  <c r="D12" i="8"/>
  <c r="E12" i="8" s="1"/>
  <c r="C12" i="8"/>
  <c r="O11" i="8"/>
  <c r="I11" i="8"/>
  <c r="C11" i="8"/>
  <c r="D11" i="8" s="1"/>
  <c r="E11" i="8" s="1"/>
  <c r="U10" i="8"/>
  <c r="O10" i="8"/>
  <c r="I10" i="8"/>
  <c r="G10" i="8"/>
  <c r="D10" i="8"/>
  <c r="E10" i="8" s="1"/>
  <c r="F10" i="8" s="1"/>
  <c r="C10" i="8"/>
  <c r="H10" i="8" s="1"/>
  <c r="O9" i="8"/>
  <c r="J9" i="8"/>
  <c r="I9" i="8"/>
  <c r="H9" i="8"/>
  <c r="D9" i="8"/>
  <c r="E9" i="8" s="1"/>
  <c r="G9" i="8" s="1"/>
  <c r="C9" i="8"/>
  <c r="O8" i="8"/>
  <c r="I8" i="8"/>
  <c r="C8" i="8"/>
  <c r="O7" i="8"/>
  <c r="I7" i="8"/>
  <c r="H7" i="8"/>
  <c r="J7" i="8" s="1"/>
  <c r="D7" i="8"/>
  <c r="E7" i="8" s="1"/>
  <c r="C7" i="8"/>
  <c r="O6" i="8"/>
  <c r="I6" i="8"/>
  <c r="C6" i="8"/>
  <c r="O5" i="8"/>
  <c r="J5" i="8"/>
  <c r="I5" i="8"/>
  <c r="H5" i="8"/>
  <c r="D5" i="8"/>
  <c r="E5" i="8" s="1"/>
  <c r="C5" i="8"/>
  <c r="O4" i="8"/>
  <c r="I4" i="8"/>
  <c r="C4" i="8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4" i="7"/>
  <c r="I5" i="7"/>
  <c r="J5" i="7" s="1"/>
  <c r="I6" i="7"/>
  <c r="J6" i="7" s="1"/>
  <c r="I7" i="7"/>
  <c r="I8" i="7"/>
  <c r="I9" i="7"/>
  <c r="I10" i="7"/>
  <c r="I11" i="7"/>
  <c r="I12" i="7"/>
  <c r="J12" i="7" s="1"/>
  <c r="I13" i="7"/>
  <c r="J13" i="7" s="1"/>
  <c r="I14" i="7"/>
  <c r="J14" i="7" s="1"/>
  <c r="I15" i="7"/>
  <c r="I16" i="7"/>
  <c r="I17" i="7"/>
  <c r="I18" i="7"/>
  <c r="I19" i="7"/>
  <c r="I20" i="7"/>
  <c r="J20" i="7" s="1"/>
  <c r="I21" i="7"/>
  <c r="J21" i="7" s="1"/>
  <c r="I22" i="7"/>
  <c r="J22" i="7" s="1"/>
  <c r="I23" i="7"/>
  <c r="I24" i="7"/>
  <c r="I25" i="7"/>
  <c r="I26" i="7"/>
  <c r="I27" i="7"/>
  <c r="I28" i="7"/>
  <c r="J28" i="7" s="1"/>
  <c r="I29" i="7"/>
  <c r="J29" i="7" s="1"/>
  <c r="I30" i="7"/>
  <c r="J30" i="7" s="1"/>
  <c r="I31" i="7"/>
  <c r="I32" i="7"/>
  <c r="I33" i="7"/>
  <c r="I34" i="7"/>
  <c r="I35" i="7"/>
  <c r="I36" i="7"/>
  <c r="J36" i="7" s="1"/>
  <c r="I37" i="7"/>
  <c r="J37" i="7" s="1"/>
  <c r="I38" i="7"/>
  <c r="J38" i="7" s="1"/>
  <c r="I39" i="7"/>
  <c r="I40" i="7"/>
  <c r="I41" i="7"/>
  <c r="I42" i="7"/>
  <c r="I43" i="7"/>
  <c r="I44" i="7"/>
  <c r="J44" i="7" s="1"/>
  <c r="I45" i="7"/>
  <c r="J45" i="7" s="1"/>
  <c r="I46" i="7"/>
  <c r="J46" i="7" s="1"/>
  <c r="I47" i="7"/>
  <c r="I48" i="7"/>
  <c r="I49" i="7"/>
  <c r="I50" i="7"/>
  <c r="I51" i="7"/>
  <c r="J51" i="7" s="1"/>
  <c r="I52" i="7"/>
  <c r="J52" i="7" s="1"/>
  <c r="I53" i="7"/>
  <c r="J53" i="7" s="1"/>
  <c r="I54" i="7"/>
  <c r="J54" i="7" s="1"/>
  <c r="I55" i="7"/>
  <c r="I56" i="7"/>
  <c r="I57" i="7"/>
  <c r="I58" i="7"/>
  <c r="I59" i="7"/>
  <c r="J59" i="7" s="1"/>
  <c r="I60" i="7"/>
  <c r="J60" i="7" s="1"/>
  <c r="I61" i="7"/>
  <c r="J61" i="7" s="1"/>
  <c r="I62" i="7"/>
  <c r="J62" i="7" s="1"/>
  <c r="I63" i="7"/>
  <c r="I64" i="7"/>
  <c r="I4" i="7"/>
  <c r="J4" i="7" s="1"/>
  <c r="J7" i="7"/>
  <c r="J8" i="7"/>
  <c r="J9" i="7"/>
  <c r="J10" i="7"/>
  <c r="J11" i="7"/>
  <c r="J15" i="7"/>
  <c r="J16" i="7"/>
  <c r="J17" i="7"/>
  <c r="J18" i="7"/>
  <c r="J19" i="7"/>
  <c r="J23" i="7"/>
  <c r="J24" i="7"/>
  <c r="J25" i="7"/>
  <c r="J26" i="7"/>
  <c r="J27" i="7"/>
  <c r="J31" i="7"/>
  <c r="J32" i="7"/>
  <c r="J33" i="7"/>
  <c r="J34" i="7"/>
  <c r="J35" i="7"/>
  <c r="J39" i="7"/>
  <c r="J40" i="7"/>
  <c r="J41" i="7"/>
  <c r="J42" i="7"/>
  <c r="J43" i="7"/>
  <c r="J47" i="7"/>
  <c r="J48" i="7"/>
  <c r="J49" i="7"/>
  <c r="J50" i="7"/>
  <c r="J55" i="7"/>
  <c r="J56" i="7"/>
  <c r="J57" i="7"/>
  <c r="J58" i="7"/>
  <c r="J63" i="7"/>
  <c r="J64" i="7"/>
  <c r="R54" i="8" l="1"/>
  <c r="Q54" i="8"/>
  <c r="R30" i="8"/>
  <c r="Q30" i="8"/>
  <c r="R14" i="8"/>
  <c r="Q14" i="8"/>
  <c r="R38" i="8"/>
  <c r="Q38" i="8"/>
  <c r="R6" i="8"/>
  <c r="Q6" i="8"/>
  <c r="R58" i="8"/>
  <c r="Q58" i="8"/>
  <c r="R50" i="8"/>
  <c r="Q50" i="8"/>
  <c r="R42" i="8"/>
  <c r="Q42" i="8"/>
  <c r="R34" i="8"/>
  <c r="Q34" i="8"/>
  <c r="R26" i="8"/>
  <c r="Q26" i="8"/>
  <c r="R18" i="8"/>
  <c r="Q18" i="8"/>
  <c r="R10" i="8"/>
  <c r="Q10" i="8"/>
  <c r="R62" i="8"/>
  <c r="Q62" i="8"/>
  <c r="R22" i="8"/>
  <c r="Q22" i="8"/>
  <c r="R46" i="8"/>
  <c r="Q46" i="8"/>
  <c r="R61" i="8"/>
  <c r="R57" i="8"/>
  <c r="T57" i="8" s="1"/>
  <c r="X57" i="8" s="1"/>
  <c r="R53" i="8"/>
  <c r="R49" i="8"/>
  <c r="R45" i="8"/>
  <c r="R41" i="8"/>
  <c r="R37" i="8"/>
  <c r="R33" i="8"/>
  <c r="R29" i="8"/>
  <c r="R25" i="8"/>
  <c r="T25" i="8" s="1"/>
  <c r="X25" i="8" s="1"/>
  <c r="R21" i="8"/>
  <c r="R17" i="8"/>
  <c r="T17" i="8" s="1"/>
  <c r="X17" i="8" s="1"/>
  <c r="R13" i="8"/>
  <c r="R9" i="8"/>
  <c r="R5" i="8"/>
  <c r="R44" i="8"/>
  <c r="S23" i="8"/>
  <c r="W23" i="8" s="1"/>
  <c r="R60" i="8"/>
  <c r="R52" i="8"/>
  <c r="R40" i="8"/>
  <c r="R32" i="8"/>
  <c r="R24" i="8"/>
  <c r="R16" i="8"/>
  <c r="R8" i="8"/>
  <c r="Q64" i="8"/>
  <c r="S64" i="8" s="1"/>
  <c r="W64" i="8" s="1"/>
  <c r="Q56" i="8"/>
  <c r="Q48" i="8"/>
  <c r="Q36" i="8"/>
  <c r="Q28" i="8"/>
  <c r="Q20" i="8"/>
  <c r="Q12" i="8"/>
  <c r="S57" i="8"/>
  <c r="W57" i="8" s="1"/>
  <c r="Q4" i="8"/>
  <c r="F27" i="8"/>
  <c r="G27" i="8"/>
  <c r="T50" i="8"/>
  <c r="X50" i="8" s="1"/>
  <c r="G5" i="8"/>
  <c r="F5" i="8"/>
  <c r="V35" i="8"/>
  <c r="T35" i="8"/>
  <c r="X35" i="8" s="1"/>
  <c r="G41" i="8"/>
  <c r="F41" i="8"/>
  <c r="U17" i="8"/>
  <c r="V18" i="8"/>
  <c r="H20" i="8"/>
  <c r="J20" i="8" s="1"/>
  <c r="D20" i="8"/>
  <c r="E20" i="8" s="1"/>
  <c r="F22" i="8"/>
  <c r="G22" i="8"/>
  <c r="T31" i="8"/>
  <c r="X31" i="8" s="1"/>
  <c r="V31" i="8"/>
  <c r="G32" i="8"/>
  <c r="F32" i="8"/>
  <c r="J33" i="8"/>
  <c r="U45" i="8"/>
  <c r="V50" i="8"/>
  <c r="G34" i="8"/>
  <c r="F34" i="8"/>
  <c r="G42" i="8"/>
  <c r="F42" i="8"/>
  <c r="H15" i="8"/>
  <c r="J15" i="8" s="1"/>
  <c r="D15" i="8"/>
  <c r="E15" i="8" s="1"/>
  <c r="G21" i="8"/>
  <c r="F21" i="8"/>
  <c r="F30" i="8"/>
  <c r="G30" i="8"/>
  <c r="T37" i="8"/>
  <c r="X37" i="8" s="1"/>
  <c r="G49" i="8"/>
  <c r="F49" i="8"/>
  <c r="H59" i="8"/>
  <c r="J59" i="8" s="1"/>
  <c r="D59" i="8"/>
  <c r="E59" i="8" s="1"/>
  <c r="V25" i="8"/>
  <c r="G33" i="8"/>
  <c r="F33" i="8"/>
  <c r="D40" i="8"/>
  <c r="E40" i="8" s="1"/>
  <c r="H40" i="8"/>
  <c r="J40" i="8" s="1"/>
  <c r="H19" i="8"/>
  <c r="J19" i="8" s="1"/>
  <c r="D19" i="8"/>
  <c r="E19" i="8" s="1"/>
  <c r="V9" i="8"/>
  <c r="T16" i="8"/>
  <c r="X16" i="8" s="1"/>
  <c r="J18" i="8"/>
  <c r="T18" i="8" s="1"/>
  <c r="X18" i="8" s="1"/>
  <c r="G29" i="8"/>
  <c r="F29" i="8"/>
  <c r="H30" i="8"/>
  <c r="J30" i="8" s="1"/>
  <c r="H52" i="8"/>
  <c r="J52" i="8" s="1"/>
  <c r="D52" i="8"/>
  <c r="E52" i="8" s="1"/>
  <c r="G55" i="8"/>
  <c r="H6" i="8"/>
  <c r="J6" i="8" s="1"/>
  <c r="D6" i="8"/>
  <c r="E6" i="8" s="1"/>
  <c r="H8" i="8"/>
  <c r="J8" i="8" s="1"/>
  <c r="D8" i="8"/>
  <c r="E8" i="8" s="1"/>
  <c r="H14" i="8"/>
  <c r="J14" i="8" s="1"/>
  <c r="D14" i="8"/>
  <c r="E14" i="8" s="1"/>
  <c r="F39" i="8"/>
  <c r="G39" i="8"/>
  <c r="V58" i="8"/>
  <c r="F9" i="8"/>
  <c r="J10" i="8"/>
  <c r="H11" i="8"/>
  <c r="J11" i="8" s="1"/>
  <c r="G12" i="8"/>
  <c r="F12" i="8"/>
  <c r="J17" i="8"/>
  <c r="S17" i="8" s="1"/>
  <c r="W17" i="8" s="1"/>
  <c r="F18" i="8"/>
  <c r="D38" i="8"/>
  <c r="E38" i="8" s="1"/>
  <c r="H38" i="8"/>
  <c r="J38" i="8" s="1"/>
  <c r="G44" i="8"/>
  <c r="F44" i="8"/>
  <c r="T47" i="8"/>
  <c r="X47" i="8" s="1"/>
  <c r="V47" i="8"/>
  <c r="F54" i="8"/>
  <c r="G54" i="8"/>
  <c r="G7" i="8"/>
  <c r="F7" i="8"/>
  <c r="G11" i="8"/>
  <c r="F11" i="8"/>
  <c r="S16" i="8"/>
  <c r="W16" i="8" s="1"/>
  <c r="U16" i="8"/>
  <c r="G13" i="8"/>
  <c r="F13" i="8"/>
  <c r="U23" i="8"/>
  <c r="J26" i="8"/>
  <c r="H27" i="8"/>
  <c r="J27" i="8" s="1"/>
  <c r="U31" i="8"/>
  <c r="V43" i="8"/>
  <c r="D4" i="8"/>
  <c r="E4" i="8" s="1"/>
  <c r="H4" i="8"/>
  <c r="J4" i="8" s="1"/>
  <c r="T10" i="8"/>
  <c r="X10" i="8" s="1"/>
  <c r="V10" i="8"/>
  <c r="T23" i="8"/>
  <c r="X23" i="8" s="1"/>
  <c r="V23" i="8"/>
  <c r="D24" i="8"/>
  <c r="E24" i="8" s="1"/>
  <c r="H24" i="8"/>
  <c r="J24" i="8" s="1"/>
  <c r="S25" i="8"/>
  <c r="W25" i="8" s="1"/>
  <c r="G26" i="8"/>
  <c r="F26" i="8"/>
  <c r="S35" i="8"/>
  <c r="W35" i="8" s="1"/>
  <c r="U35" i="8"/>
  <c r="S37" i="8"/>
  <c r="W37" i="8" s="1"/>
  <c r="F43" i="8"/>
  <c r="U55" i="8"/>
  <c r="T56" i="8"/>
  <c r="X56" i="8" s="1"/>
  <c r="H36" i="8"/>
  <c r="J36" i="8" s="1"/>
  <c r="D36" i="8"/>
  <c r="E36" i="8" s="1"/>
  <c r="S47" i="8"/>
  <c r="W47" i="8" s="1"/>
  <c r="J58" i="8"/>
  <c r="S58" i="8" s="1"/>
  <c r="W58" i="8" s="1"/>
  <c r="G62" i="8"/>
  <c r="F62" i="8"/>
  <c r="J45" i="8"/>
  <c r="T45" i="8" s="1"/>
  <c r="X45" i="8" s="1"/>
  <c r="J55" i="8"/>
  <c r="S55" i="8" s="1"/>
  <c r="W55" i="8" s="1"/>
  <c r="D60" i="8"/>
  <c r="E60" i="8" s="1"/>
  <c r="S56" i="8"/>
  <c r="W56" i="8" s="1"/>
  <c r="U56" i="8"/>
  <c r="S63" i="8"/>
  <c r="W63" i="8" s="1"/>
  <c r="D28" i="8"/>
  <c r="E28" i="8" s="1"/>
  <c r="H32" i="8"/>
  <c r="J32" i="8" s="1"/>
  <c r="G46" i="8"/>
  <c r="F48" i="8"/>
  <c r="T48" i="8" s="1"/>
  <c r="X48" i="8" s="1"/>
  <c r="F50" i="8"/>
  <c r="G63" i="8"/>
  <c r="J53" i="8"/>
  <c r="T64" i="8"/>
  <c r="X64" i="8" s="1"/>
  <c r="V64" i="8"/>
  <c r="D51" i="8"/>
  <c r="E51" i="8" s="1"/>
  <c r="D53" i="8"/>
  <c r="E53" i="8" s="1"/>
  <c r="H61" i="8"/>
  <c r="J61" i="8" s="1"/>
  <c r="D61" i="8"/>
  <c r="E61" i="8" s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4" i="7"/>
  <c r="V26" i="8" l="1"/>
  <c r="T26" i="8"/>
  <c r="X26" i="8" s="1"/>
  <c r="U13" i="8"/>
  <c r="S13" i="8"/>
  <c r="W13" i="8" s="1"/>
  <c r="U7" i="8"/>
  <c r="S7" i="8"/>
  <c r="W7" i="8" s="1"/>
  <c r="U9" i="8"/>
  <c r="S9" i="8"/>
  <c r="W9" i="8" s="1"/>
  <c r="U30" i="8"/>
  <c r="S30" i="8"/>
  <c r="W30" i="8" s="1"/>
  <c r="V34" i="8"/>
  <c r="T34" i="8"/>
  <c r="X34" i="8" s="1"/>
  <c r="G53" i="8"/>
  <c r="F53" i="8"/>
  <c r="F28" i="8"/>
  <c r="G28" i="8"/>
  <c r="V62" i="8"/>
  <c r="T62" i="8"/>
  <c r="X62" i="8" s="1"/>
  <c r="U43" i="8"/>
  <c r="S43" i="8"/>
  <c r="W43" i="8" s="1"/>
  <c r="F24" i="8"/>
  <c r="G24" i="8"/>
  <c r="U54" i="8"/>
  <c r="S54" i="8"/>
  <c r="W54" i="8" s="1"/>
  <c r="S45" i="8"/>
  <c r="W45" i="8" s="1"/>
  <c r="G6" i="8"/>
  <c r="F6" i="8"/>
  <c r="V29" i="8"/>
  <c r="T29" i="8"/>
  <c r="X29" i="8" s="1"/>
  <c r="G40" i="8"/>
  <c r="F40" i="8"/>
  <c r="G15" i="8"/>
  <c r="F15" i="8"/>
  <c r="F20" i="8"/>
  <c r="G20" i="8"/>
  <c r="U12" i="8"/>
  <c r="S12" i="8"/>
  <c r="W12" i="8" s="1"/>
  <c r="U33" i="8"/>
  <c r="S33" i="8"/>
  <c r="W33" i="8" s="1"/>
  <c r="S49" i="8"/>
  <c r="W49" i="8" s="1"/>
  <c r="U49" i="8"/>
  <c r="V12" i="8"/>
  <c r="T12" i="8"/>
  <c r="X12" i="8" s="1"/>
  <c r="U39" i="8"/>
  <c r="S39" i="8"/>
  <c r="W39" i="8" s="1"/>
  <c r="V33" i="8"/>
  <c r="T33" i="8"/>
  <c r="X33" i="8" s="1"/>
  <c r="T49" i="8"/>
  <c r="X49" i="8" s="1"/>
  <c r="V49" i="8"/>
  <c r="U42" i="8"/>
  <c r="S42" i="8"/>
  <c r="W42" i="8" s="1"/>
  <c r="S32" i="8"/>
  <c r="W32" i="8" s="1"/>
  <c r="U32" i="8"/>
  <c r="T9" i="8"/>
  <c r="X9" i="8" s="1"/>
  <c r="T63" i="8"/>
  <c r="X63" i="8" s="1"/>
  <c r="V63" i="8"/>
  <c r="G36" i="8"/>
  <c r="F36" i="8"/>
  <c r="S11" i="8"/>
  <c r="W11" i="8" s="1"/>
  <c r="U11" i="8"/>
  <c r="U44" i="8"/>
  <c r="S44" i="8"/>
  <c r="W44" i="8" s="1"/>
  <c r="T55" i="8"/>
  <c r="X55" i="8" s="1"/>
  <c r="V55" i="8"/>
  <c r="V42" i="8"/>
  <c r="T42" i="8"/>
  <c r="X42" i="8" s="1"/>
  <c r="V32" i="8"/>
  <c r="T32" i="8"/>
  <c r="X32" i="8" s="1"/>
  <c r="U5" i="8"/>
  <c r="S5" i="8"/>
  <c r="W5" i="8" s="1"/>
  <c r="T39" i="8"/>
  <c r="X39" i="8" s="1"/>
  <c r="V39" i="8"/>
  <c r="G61" i="8"/>
  <c r="F61" i="8"/>
  <c r="U50" i="8"/>
  <c r="S50" i="8"/>
  <c r="W50" i="8" s="1"/>
  <c r="G60" i="8"/>
  <c r="F60" i="8"/>
  <c r="U26" i="8"/>
  <c r="S26" i="8"/>
  <c r="W26" i="8" s="1"/>
  <c r="V11" i="8"/>
  <c r="T11" i="8"/>
  <c r="X11" i="8" s="1"/>
  <c r="V44" i="8"/>
  <c r="T44" i="8"/>
  <c r="X44" i="8" s="1"/>
  <c r="G14" i="8"/>
  <c r="F14" i="8"/>
  <c r="F52" i="8"/>
  <c r="G52" i="8"/>
  <c r="G19" i="8"/>
  <c r="F19" i="8"/>
  <c r="T30" i="8"/>
  <c r="X30" i="8" s="1"/>
  <c r="V30" i="8"/>
  <c r="S34" i="8"/>
  <c r="W34" i="8" s="1"/>
  <c r="U34" i="8"/>
  <c r="V5" i="8"/>
  <c r="T5" i="8"/>
  <c r="X5" i="8" s="1"/>
  <c r="S48" i="8"/>
  <c r="W48" i="8" s="1"/>
  <c r="U48" i="8"/>
  <c r="T46" i="8"/>
  <c r="X46" i="8" s="1"/>
  <c r="V46" i="8"/>
  <c r="G4" i="8"/>
  <c r="F4" i="8"/>
  <c r="V13" i="8"/>
  <c r="T13" i="8"/>
  <c r="X13" i="8" s="1"/>
  <c r="V7" i="8"/>
  <c r="T7" i="8"/>
  <c r="X7" i="8" s="1"/>
  <c r="F38" i="8"/>
  <c r="G38" i="8"/>
  <c r="F8" i="8"/>
  <c r="G8" i="8"/>
  <c r="F59" i="8"/>
  <c r="G59" i="8"/>
  <c r="S21" i="8"/>
  <c r="W21" i="8" s="1"/>
  <c r="U21" i="8"/>
  <c r="V22" i="8"/>
  <c r="T22" i="8"/>
  <c r="X22" i="8" s="1"/>
  <c r="U41" i="8"/>
  <c r="S41" i="8"/>
  <c r="W41" i="8" s="1"/>
  <c r="V27" i="8"/>
  <c r="T27" i="8"/>
  <c r="X27" i="8" s="1"/>
  <c r="F51" i="8"/>
  <c r="G51" i="8"/>
  <c r="S62" i="8"/>
  <c r="W62" i="8" s="1"/>
  <c r="U62" i="8"/>
  <c r="T43" i="8"/>
  <c r="X43" i="8" s="1"/>
  <c r="S10" i="8"/>
  <c r="W10" i="8" s="1"/>
  <c r="V54" i="8"/>
  <c r="T54" i="8"/>
  <c r="X54" i="8" s="1"/>
  <c r="U18" i="8"/>
  <c r="S18" i="8"/>
  <c r="W18" i="8" s="1"/>
  <c r="T58" i="8"/>
  <c r="X58" i="8" s="1"/>
  <c r="U29" i="8"/>
  <c r="S29" i="8"/>
  <c r="W29" i="8" s="1"/>
  <c r="V21" i="8"/>
  <c r="T21" i="8"/>
  <c r="X21" i="8" s="1"/>
  <c r="S46" i="8"/>
  <c r="W46" i="8" s="1"/>
  <c r="U22" i="8"/>
  <c r="S22" i="8"/>
  <c r="W22" i="8" s="1"/>
  <c r="V41" i="8"/>
  <c r="T41" i="8"/>
  <c r="X41" i="8" s="1"/>
  <c r="U27" i="8"/>
  <c r="S27" i="8"/>
  <c r="W27" i="8" s="1"/>
  <c r="C64" i="7"/>
  <c r="D64" i="7" s="1"/>
  <c r="C63" i="7"/>
  <c r="D63" i="7" s="1"/>
  <c r="D62" i="7"/>
  <c r="C62" i="7"/>
  <c r="C61" i="7"/>
  <c r="D61" i="7" s="1"/>
  <c r="C60" i="7"/>
  <c r="D60" i="7" s="1"/>
  <c r="C59" i="7"/>
  <c r="D59" i="7" s="1"/>
  <c r="D58" i="7"/>
  <c r="C58" i="7"/>
  <c r="D57" i="7"/>
  <c r="C57" i="7"/>
  <c r="C56" i="7"/>
  <c r="D56" i="7" s="1"/>
  <c r="C55" i="7"/>
  <c r="D55" i="7" s="1"/>
  <c r="D54" i="7"/>
  <c r="C54" i="7"/>
  <c r="C53" i="7"/>
  <c r="D53" i="7" s="1"/>
  <c r="C52" i="7"/>
  <c r="D52" i="7" s="1"/>
  <c r="C51" i="7"/>
  <c r="D51" i="7" s="1"/>
  <c r="D50" i="7"/>
  <c r="C50" i="7"/>
  <c r="D49" i="7"/>
  <c r="C49" i="7"/>
  <c r="C48" i="7"/>
  <c r="D48" i="7" s="1"/>
  <c r="C47" i="7"/>
  <c r="D47" i="7" s="1"/>
  <c r="D46" i="7"/>
  <c r="C46" i="7"/>
  <c r="C45" i="7"/>
  <c r="D45" i="7" s="1"/>
  <c r="C44" i="7"/>
  <c r="D44" i="7" s="1"/>
  <c r="C43" i="7"/>
  <c r="D43" i="7" s="1"/>
  <c r="D42" i="7"/>
  <c r="C42" i="7"/>
  <c r="D41" i="7"/>
  <c r="C41" i="7"/>
  <c r="C40" i="7"/>
  <c r="D40" i="7" s="1"/>
  <c r="C39" i="7"/>
  <c r="D39" i="7" s="1"/>
  <c r="D38" i="7"/>
  <c r="C38" i="7"/>
  <c r="D37" i="7"/>
  <c r="C37" i="7"/>
  <c r="C36" i="7"/>
  <c r="D36" i="7" s="1"/>
  <c r="C35" i="7"/>
  <c r="D35" i="7" s="1"/>
  <c r="D34" i="7"/>
  <c r="C34" i="7"/>
  <c r="D33" i="7"/>
  <c r="C33" i="7"/>
  <c r="C32" i="7"/>
  <c r="D32" i="7" s="1"/>
  <c r="C31" i="7"/>
  <c r="D31" i="7" s="1"/>
  <c r="D30" i="7"/>
  <c r="C30" i="7"/>
  <c r="D29" i="7"/>
  <c r="C29" i="7"/>
  <c r="C28" i="7"/>
  <c r="D28" i="7" s="1"/>
  <c r="C27" i="7"/>
  <c r="D27" i="7" s="1"/>
  <c r="D26" i="7"/>
  <c r="C26" i="7"/>
  <c r="D25" i="7"/>
  <c r="C25" i="7"/>
  <c r="C24" i="7"/>
  <c r="D24" i="7" s="1"/>
  <c r="C23" i="7"/>
  <c r="D23" i="7" s="1"/>
  <c r="G23" i="7" s="1"/>
  <c r="C22" i="7"/>
  <c r="D22" i="7" s="1"/>
  <c r="D21" i="7"/>
  <c r="C21" i="7"/>
  <c r="C20" i="7"/>
  <c r="D20" i="7" s="1"/>
  <c r="F20" i="7" s="1"/>
  <c r="S20" i="7" s="1"/>
  <c r="G19" i="7"/>
  <c r="C19" i="7"/>
  <c r="D19" i="7" s="1"/>
  <c r="G18" i="7"/>
  <c r="F18" i="7"/>
  <c r="S18" i="7" s="1"/>
  <c r="D18" i="7"/>
  <c r="C18" i="7"/>
  <c r="D17" i="7"/>
  <c r="C17" i="7"/>
  <c r="F16" i="7"/>
  <c r="O16" i="7" s="1"/>
  <c r="C16" i="7"/>
  <c r="D16" i="7" s="1"/>
  <c r="F15" i="7"/>
  <c r="S15" i="7" s="1"/>
  <c r="C15" i="7"/>
  <c r="D15" i="7" s="1"/>
  <c r="G14" i="7"/>
  <c r="D14" i="7"/>
  <c r="C14" i="7"/>
  <c r="C13" i="7"/>
  <c r="D13" i="7" s="1"/>
  <c r="F12" i="7"/>
  <c r="S12" i="7" s="1"/>
  <c r="C12" i="7"/>
  <c r="D12" i="7" s="1"/>
  <c r="G11" i="7"/>
  <c r="P11" i="7" s="1"/>
  <c r="F11" i="7"/>
  <c r="C11" i="7"/>
  <c r="D11" i="7" s="1"/>
  <c r="D10" i="7"/>
  <c r="G10" i="7" s="1"/>
  <c r="C10" i="7"/>
  <c r="C9" i="7"/>
  <c r="D9" i="7" s="1"/>
  <c r="F8" i="7"/>
  <c r="C8" i="7"/>
  <c r="D8" i="7" s="1"/>
  <c r="G7" i="7"/>
  <c r="D7" i="7"/>
  <c r="C7" i="7"/>
  <c r="D6" i="7"/>
  <c r="C6" i="7"/>
  <c r="C5" i="7"/>
  <c r="D5" i="7" s="1"/>
  <c r="F4" i="7"/>
  <c r="C4" i="7"/>
  <c r="D4" i="7" s="1"/>
  <c r="V15" i="8" l="1"/>
  <c r="T15" i="8"/>
  <c r="X15" i="8" s="1"/>
  <c r="T28" i="8"/>
  <c r="X28" i="8" s="1"/>
  <c r="V28" i="8"/>
  <c r="S59" i="8"/>
  <c r="W59" i="8" s="1"/>
  <c r="U59" i="8"/>
  <c r="U52" i="8"/>
  <c r="S52" i="8"/>
  <c r="W52" i="8" s="1"/>
  <c r="S40" i="8"/>
  <c r="W40" i="8" s="1"/>
  <c r="U40" i="8"/>
  <c r="U28" i="8"/>
  <c r="S28" i="8"/>
  <c r="W28" i="8" s="1"/>
  <c r="U14" i="8"/>
  <c r="S14" i="8"/>
  <c r="W14" i="8" s="1"/>
  <c r="T40" i="8"/>
  <c r="X40" i="8" s="1"/>
  <c r="V40" i="8"/>
  <c r="T24" i="8"/>
  <c r="X24" i="8" s="1"/>
  <c r="V24" i="8"/>
  <c r="U53" i="8"/>
  <c r="S53" i="8"/>
  <c r="W53" i="8" s="1"/>
  <c r="U8" i="8"/>
  <c r="S8" i="8"/>
  <c r="W8" i="8" s="1"/>
  <c r="V4" i="8"/>
  <c r="T4" i="8"/>
  <c r="X4" i="8" s="1"/>
  <c r="V14" i="8"/>
  <c r="T14" i="8"/>
  <c r="X14" i="8" s="1"/>
  <c r="V60" i="8"/>
  <c r="T60" i="8"/>
  <c r="X60" i="8" s="1"/>
  <c r="S24" i="8"/>
  <c r="W24" i="8" s="1"/>
  <c r="U24" i="8"/>
  <c r="V53" i="8"/>
  <c r="T53" i="8"/>
  <c r="X53" i="8" s="1"/>
  <c r="T38" i="8"/>
  <c r="X38" i="8" s="1"/>
  <c r="V38" i="8"/>
  <c r="S4" i="8"/>
  <c r="W4" i="8" s="1"/>
  <c r="U4" i="8"/>
  <c r="U60" i="8"/>
  <c r="S60" i="8"/>
  <c r="W60" i="8" s="1"/>
  <c r="U38" i="8"/>
  <c r="S38" i="8"/>
  <c r="W38" i="8" s="1"/>
  <c r="T20" i="8"/>
  <c r="X20" i="8" s="1"/>
  <c r="V20" i="8"/>
  <c r="U6" i="8"/>
  <c r="S6" i="8"/>
  <c r="W6" i="8" s="1"/>
  <c r="V59" i="8"/>
  <c r="T59" i="8"/>
  <c r="X59" i="8" s="1"/>
  <c r="V52" i="8"/>
  <c r="T52" i="8"/>
  <c r="X52" i="8" s="1"/>
  <c r="T8" i="8"/>
  <c r="X8" i="8" s="1"/>
  <c r="V8" i="8"/>
  <c r="V51" i="8"/>
  <c r="T51" i="8"/>
  <c r="X51" i="8" s="1"/>
  <c r="U19" i="8"/>
  <c r="S19" i="8"/>
  <c r="W19" i="8" s="1"/>
  <c r="U61" i="8"/>
  <c r="S61" i="8"/>
  <c r="W61" i="8" s="1"/>
  <c r="U36" i="8"/>
  <c r="S36" i="8"/>
  <c r="W36" i="8" s="1"/>
  <c r="U20" i="8"/>
  <c r="S20" i="8"/>
  <c r="W20" i="8" s="1"/>
  <c r="T6" i="8"/>
  <c r="X6" i="8" s="1"/>
  <c r="V6" i="8"/>
  <c r="U51" i="8"/>
  <c r="S51" i="8"/>
  <c r="W51" i="8" s="1"/>
  <c r="V19" i="8"/>
  <c r="T19" i="8"/>
  <c r="X19" i="8" s="1"/>
  <c r="V61" i="8"/>
  <c r="T61" i="8"/>
  <c r="X61" i="8" s="1"/>
  <c r="T36" i="8"/>
  <c r="X36" i="8" s="1"/>
  <c r="V36" i="8"/>
  <c r="U15" i="8"/>
  <c r="S15" i="8"/>
  <c r="W15" i="8" s="1"/>
  <c r="R11" i="7"/>
  <c r="Q16" i="7"/>
  <c r="U16" i="7" s="1"/>
  <c r="G53" i="7"/>
  <c r="F53" i="7"/>
  <c r="P23" i="7"/>
  <c r="R23" i="7" s="1"/>
  <c r="T23" i="7"/>
  <c r="G35" i="7"/>
  <c r="F35" i="7"/>
  <c r="G59" i="7"/>
  <c r="F59" i="7"/>
  <c r="G26" i="7"/>
  <c r="F26" i="7"/>
  <c r="F5" i="7"/>
  <c r="G5" i="7"/>
  <c r="F13" i="7"/>
  <c r="G13" i="7"/>
  <c r="F17" i="7"/>
  <c r="G17" i="7"/>
  <c r="P19" i="7"/>
  <c r="T19" i="7"/>
  <c r="G34" i="7"/>
  <c r="F34" i="7"/>
  <c r="G43" i="7"/>
  <c r="F43" i="7"/>
  <c r="G58" i="7"/>
  <c r="F58" i="7"/>
  <c r="S4" i="7"/>
  <c r="O4" i="7"/>
  <c r="P7" i="7"/>
  <c r="R7" i="7" s="1"/>
  <c r="T7" i="7"/>
  <c r="P10" i="7"/>
  <c r="T10" i="7"/>
  <c r="F24" i="7"/>
  <c r="G24" i="7"/>
  <c r="G45" i="7"/>
  <c r="F45" i="7"/>
  <c r="G63" i="7"/>
  <c r="F63" i="7"/>
  <c r="S8" i="7"/>
  <c r="O8" i="7"/>
  <c r="S11" i="7"/>
  <c r="O11" i="7"/>
  <c r="G51" i="7"/>
  <c r="F51" i="7"/>
  <c r="G27" i="7"/>
  <c r="F27" i="7"/>
  <c r="F6" i="7"/>
  <c r="G6" i="7"/>
  <c r="G42" i="7"/>
  <c r="F42" i="7"/>
  <c r="G61" i="7"/>
  <c r="F61" i="7"/>
  <c r="F9" i="7"/>
  <c r="G9" i="7"/>
  <c r="P14" i="7"/>
  <c r="T14" i="7"/>
  <c r="G46" i="7"/>
  <c r="F46" i="7"/>
  <c r="V11" i="7"/>
  <c r="G29" i="7"/>
  <c r="F29" i="7"/>
  <c r="G37" i="7"/>
  <c r="F37" i="7"/>
  <c r="G57" i="7"/>
  <c r="F57" i="7"/>
  <c r="G12" i="7"/>
  <c r="O15" i="7"/>
  <c r="Q15" i="7" s="1"/>
  <c r="P18" i="7"/>
  <c r="T18" i="7"/>
  <c r="F19" i="7"/>
  <c r="G20" i="7"/>
  <c r="F23" i="7"/>
  <c r="F44" i="7"/>
  <c r="G44" i="7"/>
  <c r="G8" i="7"/>
  <c r="F48" i="7"/>
  <c r="G48" i="7"/>
  <c r="G55" i="7"/>
  <c r="F55" i="7"/>
  <c r="O12" i="7"/>
  <c r="O18" i="7"/>
  <c r="O20" i="7"/>
  <c r="Q20" i="7" s="1"/>
  <c r="F28" i="7"/>
  <c r="G28" i="7"/>
  <c r="G31" i="7"/>
  <c r="F31" i="7"/>
  <c r="F36" i="7"/>
  <c r="G36" i="7"/>
  <c r="G39" i="7"/>
  <c r="F39" i="7"/>
  <c r="G50" i="7"/>
  <c r="F50" i="7"/>
  <c r="F52" i="7"/>
  <c r="G52" i="7"/>
  <c r="G4" i="7"/>
  <c r="T11" i="7"/>
  <c r="G22" i="7"/>
  <c r="F22" i="7"/>
  <c r="G25" i="7"/>
  <c r="F25" i="7"/>
  <c r="G33" i="7"/>
  <c r="F33" i="7"/>
  <c r="G41" i="7"/>
  <c r="F41" i="7"/>
  <c r="G54" i="7"/>
  <c r="F54" i="7"/>
  <c r="F56" i="7"/>
  <c r="G56" i="7"/>
  <c r="F7" i="7"/>
  <c r="F10" i="7"/>
  <c r="F14" i="7"/>
  <c r="F60" i="7"/>
  <c r="G60" i="7"/>
  <c r="S16" i="7"/>
  <c r="G30" i="7"/>
  <c r="F30" i="7"/>
  <c r="G38" i="7"/>
  <c r="F38" i="7"/>
  <c r="G47" i="7"/>
  <c r="F47" i="7"/>
  <c r="G49" i="7"/>
  <c r="F49" i="7"/>
  <c r="G62" i="7"/>
  <c r="F62" i="7"/>
  <c r="F64" i="7"/>
  <c r="G64" i="7"/>
  <c r="G15" i="7"/>
  <c r="G16" i="7"/>
  <c r="F21" i="7"/>
  <c r="G21" i="7"/>
  <c r="F32" i="7"/>
  <c r="G32" i="7"/>
  <c r="F40" i="7"/>
  <c r="G40" i="7"/>
  <c r="L5" i="6"/>
  <c r="N5" i="6" s="1"/>
  <c r="R5" i="6" s="1"/>
  <c r="M5" i="6"/>
  <c r="O5" i="6" s="1"/>
  <c r="S5" i="6" s="1"/>
  <c r="P5" i="6"/>
  <c r="Q5" i="6"/>
  <c r="L6" i="6"/>
  <c r="N6" i="6" s="1"/>
  <c r="R6" i="6" s="1"/>
  <c r="M6" i="6"/>
  <c r="O6" i="6" s="1"/>
  <c r="S6" i="6" s="1"/>
  <c r="P6" i="6"/>
  <c r="Q6" i="6"/>
  <c r="L7" i="6"/>
  <c r="N7" i="6" s="1"/>
  <c r="R7" i="6" s="1"/>
  <c r="M7" i="6"/>
  <c r="O7" i="6" s="1"/>
  <c r="S7" i="6" s="1"/>
  <c r="P7" i="6"/>
  <c r="Q7" i="6"/>
  <c r="L8" i="6"/>
  <c r="N8" i="6" s="1"/>
  <c r="R8" i="6" s="1"/>
  <c r="M8" i="6"/>
  <c r="O8" i="6" s="1"/>
  <c r="S8" i="6" s="1"/>
  <c r="P8" i="6"/>
  <c r="Q8" i="6"/>
  <c r="L9" i="6"/>
  <c r="N9" i="6" s="1"/>
  <c r="R9" i="6" s="1"/>
  <c r="M9" i="6"/>
  <c r="O9" i="6" s="1"/>
  <c r="S9" i="6" s="1"/>
  <c r="P9" i="6"/>
  <c r="Q9" i="6"/>
  <c r="L10" i="6"/>
  <c r="N10" i="6" s="1"/>
  <c r="R10" i="6" s="1"/>
  <c r="M10" i="6"/>
  <c r="O10" i="6" s="1"/>
  <c r="S10" i="6" s="1"/>
  <c r="P10" i="6"/>
  <c r="Q10" i="6"/>
  <c r="L11" i="6"/>
  <c r="N11" i="6" s="1"/>
  <c r="R11" i="6" s="1"/>
  <c r="M11" i="6"/>
  <c r="O11" i="6" s="1"/>
  <c r="S11" i="6" s="1"/>
  <c r="P11" i="6"/>
  <c r="Q11" i="6"/>
  <c r="L12" i="6"/>
  <c r="N12" i="6" s="1"/>
  <c r="R12" i="6" s="1"/>
  <c r="M12" i="6"/>
  <c r="O12" i="6" s="1"/>
  <c r="S12" i="6" s="1"/>
  <c r="P12" i="6"/>
  <c r="Q12" i="6"/>
  <c r="L13" i="6"/>
  <c r="N13" i="6" s="1"/>
  <c r="R13" i="6" s="1"/>
  <c r="M13" i="6"/>
  <c r="O13" i="6" s="1"/>
  <c r="S13" i="6" s="1"/>
  <c r="P13" i="6"/>
  <c r="Q13" i="6"/>
  <c r="L14" i="6"/>
  <c r="N14" i="6" s="1"/>
  <c r="R14" i="6" s="1"/>
  <c r="M14" i="6"/>
  <c r="O14" i="6" s="1"/>
  <c r="S14" i="6" s="1"/>
  <c r="P14" i="6"/>
  <c r="Q14" i="6"/>
  <c r="L15" i="6"/>
  <c r="N15" i="6" s="1"/>
  <c r="R15" i="6" s="1"/>
  <c r="M15" i="6"/>
  <c r="O15" i="6" s="1"/>
  <c r="S15" i="6" s="1"/>
  <c r="P15" i="6"/>
  <c r="Q15" i="6"/>
  <c r="L16" i="6"/>
  <c r="N16" i="6" s="1"/>
  <c r="R16" i="6" s="1"/>
  <c r="M16" i="6"/>
  <c r="O16" i="6" s="1"/>
  <c r="S16" i="6" s="1"/>
  <c r="P16" i="6"/>
  <c r="Q16" i="6"/>
  <c r="L17" i="6"/>
  <c r="N17" i="6" s="1"/>
  <c r="R17" i="6" s="1"/>
  <c r="M17" i="6"/>
  <c r="O17" i="6" s="1"/>
  <c r="S17" i="6" s="1"/>
  <c r="P17" i="6"/>
  <c r="Q17" i="6"/>
  <c r="L18" i="6"/>
  <c r="N18" i="6" s="1"/>
  <c r="R18" i="6" s="1"/>
  <c r="M18" i="6"/>
  <c r="O18" i="6" s="1"/>
  <c r="S18" i="6" s="1"/>
  <c r="P18" i="6"/>
  <c r="Q18" i="6"/>
  <c r="L19" i="6"/>
  <c r="N19" i="6" s="1"/>
  <c r="R19" i="6" s="1"/>
  <c r="M19" i="6"/>
  <c r="O19" i="6" s="1"/>
  <c r="S19" i="6" s="1"/>
  <c r="P19" i="6"/>
  <c r="Q19" i="6"/>
  <c r="L20" i="6"/>
  <c r="N20" i="6" s="1"/>
  <c r="R20" i="6" s="1"/>
  <c r="M20" i="6"/>
  <c r="O20" i="6" s="1"/>
  <c r="S20" i="6" s="1"/>
  <c r="P20" i="6"/>
  <c r="Q20" i="6"/>
  <c r="L21" i="6"/>
  <c r="N21" i="6" s="1"/>
  <c r="R21" i="6" s="1"/>
  <c r="M21" i="6"/>
  <c r="O21" i="6" s="1"/>
  <c r="S21" i="6" s="1"/>
  <c r="P21" i="6"/>
  <c r="Q21" i="6"/>
  <c r="L22" i="6"/>
  <c r="N22" i="6" s="1"/>
  <c r="R22" i="6" s="1"/>
  <c r="M22" i="6"/>
  <c r="O22" i="6" s="1"/>
  <c r="S22" i="6" s="1"/>
  <c r="P22" i="6"/>
  <c r="Q22" i="6"/>
  <c r="L23" i="6"/>
  <c r="N23" i="6" s="1"/>
  <c r="R23" i="6" s="1"/>
  <c r="M23" i="6"/>
  <c r="O23" i="6" s="1"/>
  <c r="S23" i="6" s="1"/>
  <c r="P23" i="6"/>
  <c r="Q23" i="6"/>
  <c r="L24" i="6"/>
  <c r="N24" i="6" s="1"/>
  <c r="R24" i="6" s="1"/>
  <c r="M24" i="6"/>
  <c r="O24" i="6" s="1"/>
  <c r="S24" i="6" s="1"/>
  <c r="P24" i="6"/>
  <c r="Q24" i="6"/>
  <c r="L25" i="6"/>
  <c r="N25" i="6" s="1"/>
  <c r="R25" i="6" s="1"/>
  <c r="M25" i="6"/>
  <c r="O25" i="6" s="1"/>
  <c r="S25" i="6" s="1"/>
  <c r="P25" i="6"/>
  <c r="Q25" i="6"/>
  <c r="L26" i="6"/>
  <c r="N26" i="6" s="1"/>
  <c r="R26" i="6" s="1"/>
  <c r="M26" i="6"/>
  <c r="O26" i="6" s="1"/>
  <c r="S26" i="6" s="1"/>
  <c r="P26" i="6"/>
  <c r="Q26" i="6"/>
  <c r="L27" i="6"/>
  <c r="N27" i="6" s="1"/>
  <c r="R27" i="6" s="1"/>
  <c r="M27" i="6"/>
  <c r="O27" i="6" s="1"/>
  <c r="S27" i="6" s="1"/>
  <c r="P27" i="6"/>
  <c r="Q27" i="6"/>
  <c r="L28" i="6"/>
  <c r="N28" i="6" s="1"/>
  <c r="R28" i="6" s="1"/>
  <c r="M28" i="6"/>
  <c r="O28" i="6" s="1"/>
  <c r="S28" i="6" s="1"/>
  <c r="P28" i="6"/>
  <c r="Q28" i="6"/>
  <c r="L29" i="6"/>
  <c r="N29" i="6" s="1"/>
  <c r="R29" i="6" s="1"/>
  <c r="M29" i="6"/>
  <c r="O29" i="6" s="1"/>
  <c r="S29" i="6" s="1"/>
  <c r="P29" i="6"/>
  <c r="Q29" i="6"/>
  <c r="L30" i="6"/>
  <c r="N30" i="6" s="1"/>
  <c r="R30" i="6" s="1"/>
  <c r="M30" i="6"/>
  <c r="O30" i="6" s="1"/>
  <c r="S30" i="6" s="1"/>
  <c r="P30" i="6"/>
  <c r="Q30" i="6"/>
  <c r="L31" i="6"/>
  <c r="N31" i="6" s="1"/>
  <c r="R31" i="6" s="1"/>
  <c r="M31" i="6"/>
  <c r="O31" i="6"/>
  <c r="S31" i="6" s="1"/>
  <c r="P31" i="6"/>
  <c r="Q31" i="6"/>
  <c r="L32" i="6"/>
  <c r="N32" i="6" s="1"/>
  <c r="R32" i="6" s="1"/>
  <c r="M32" i="6"/>
  <c r="O32" i="6"/>
  <c r="P32" i="6"/>
  <c r="Q32" i="6"/>
  <c r="S32" i="6"/>
  <c r="L33" i="6"/>
  <c r="N33" i="6" s="1"/>
  <c r="R33" i="6" s="1"/>
  <c r="M33" i="6"/>
  <c r="O33" i="6"/>
  <c r="S33" i="6" s="1"/>
  <c r="P33" i="6"/>
  <c r="Q33" i="6"/>
  <c r="L34" i="6"/>
  <c r="N34" i="6" s="1"/>
  <c r="R34" i="6" s="1"/>
  <c r="M34" i="6"/>
  <c r="O34" i="6" s="1"/>
  <c r="S34" i="6" s="1"/>
  <c r="P34" i="6"/>
  <c r="Q34" i="6"/>
  <c r="L35" i="6"/>
  <c r="N35" i="6" s="1"/>
  <c r="R35" i="6" s="1"/>
  <c r="M35" i="6"/>
  <c r="O35" i="6"/>
  <c r="P35" i="6"/>
  <c r="Q35" i="6"/>
  <c r="S35" i="6"/>
  <c r="L36" i="6"/>
  <c r="N36" i="6" s="1"/>
  <c r="R36" i="6" s="1"/>
  <c r="M36" i="6"/>
  <c r="O36" i="6"/>
  <c r="P36" i="6"/>
  <c r="Q36" i="6"/>
  <c r="S36" i="6"/>
  <c r="L37" i="6"/>
  <c r="N37" i="6" s="1"/>
  <c r="R37" i="6" s="1"/>
  <c r="M37" i="6"/>
  <c r="O37" i="6"/>
  <c r="S37" i="6" s="1"/>
  <c r="P37" i="6"/>
  <c r="Q37" i="6"/>
  <c r="L38" i="6"/>
  <c r="N38" i="6" s="1"/>
  <c r="R38" i="6" s="1"/>
  <c r="M38" i="6"/>
  <c r="O38" i="6" s="1"/>
  <c r="S38" i="6" s="1"/>
  <c r="P38" i="6"/>
  <c r="Q38" i="6"/>
  <c r="L39" i="6"/>
  <c r="N39" i="6" s="1"/>
  <c r="R39" i="6" s="1"/>
  <c r="M39" i="6"/>
  <c r="O39" i="6"/>
  <c r="P39" i="6"/>
  <c r="Q39" i="6"/>
  <c r="S39" i="6"/>
  <c r="L40" i="6"/>
  <c r="N40" i="6" s="1"/>
  <c r="R40" i="6" s="1"/>
  <c r="M40" i="6"/>
  <c r="O40" i="6"/>
  <c r="P40" i="6"/>
  <c r="Q40" i="6"/>
  <c r="S40" i="6"/>
  <c r="L41" i="6"/>
  <c r="N41" i="6" s="1"/>
  <c r="R41" i="6" s="1"/>
  <c r="M41" i="6"/>
  <c r="O41" i="6"/>
  <c r="S41" i="6" s="1"/>
  <c r="P41" i="6"/>
  <c r="Q41" i="6"/>
  <c r="L42" i="6"/>
  <c r="N42" i="6" s="1"/>
  <c r="R42" i="6" s="1"/>
  <c r="M42" i="6"/>
  <c r="O42" i="6" s="1"/>
  <c r="S42" i="6" s="1"/>
  <c r="P42" i="6"/>
  <c r="Q42" i="6"/>
  <c r="L43" i="6"/>
  <c r="N43" i="6" s="1"/>
  <c r="R43" i="6" s="1"/>
  <c r="M43" i="6"/>
  <c r="O43" i="6"/>
  <c r="P43" i="6"/>
  <c r="Q43" i="6"/>
  <c r="S43" i="6"/>
  <c r="L44" i="6"/>
  <c r="N44" i="6" s="1"/>
  <c r="R44" i="6" s="1"/>
  <c r="M44" i="6"/>
  <c r="O44" i="6"/>
  <c r="P44" i="6"/>
  <c r="Q44" i="6"/>
  <c r="S44" i="6"/>
  <c r="L45" i="6"/>
  <c r="N45" i="6" s="1"/>
  <c r="R45" i="6" s="1"/>
  <c r="M45" i="6"/>
  <c r="O45" i="6"/>
  <c r="S45" i="6" s="1"/>
  <c r="P45" i="6"/>
  <c r="Q45" i="6"/>
  <c r="L46" i="6"/>
  <c r="N46" i="6" s="1"/>
  <c r="R46" i="6" s="1"/>
  <c r="M46" i="6"/>
  <c r="O46" i="6" s="1"/>
  <c r="S46" i="6" s="1"/>
  <c r="P46" i="6"/>
  <c r="Q46" i="6"/>
  <c r="L47" i="6"/>
  <c r="N47" i="6" s="1"/>
  <c r="R47" i="6" s="1"/>
  <c r="M47" i="6"/>
  <c r="O47" i="6"/>
  <c r="P47" i="6"/>
  <c r="Q47" i="6"/>
  <c r="S47" i="6"/>
  <c r="L48" i="6"/>
  <c r="N48" i="6" s="1"/>
  <c r="R48" i="6" s="1"/>
  <c r="M48" i="6"/>
  <c r="O48" i="6"/>
  <c r="P48" i="6"/>
  <c r="Q48" i="6"/>
  <c r="S48" i="6"/>
  <c r="L49" i="6"/>
  <c r="N49" i="6" s="1"/>
  <c r="R49" i="6" s="1"/>
  <c r="M49" i="6"/>
  <c r="O49" i="6"/>
  <c r="S49" i="6" s="1"/>
  <c r="P49" i="6"/>
  <c r="Q49" i="6"/>
  <c r="L50" i="6"/>
  <c r="N50" i="6" s="1"/>
  <c r="R50" i="6" s="1"/>
  <c r="M50" i="6"/>
  <c r="O50" i="6" s="1"/>
  <c r="S50" i="6" s="1"/>
  <c r="P50" i="6"/>
  <c r="Q50" i="6"/>
  <c r="L51" i="6"/>
  <c r="N51" i="6" s="1"/>
  <c r="R51" i="6" s="1"/>
  <c r="M51" i="6"/>
  <c r="O51" i="6"/>
  <c r="P51" i="6"/>
  <c r="Q51" i="6"/>
  <c r="S51" i="6"/>
  <c r="L52" i="6"/>
  <c r="N52" i="6" s="1"/>
  <c r="R52" i="6" s="1"/>
  <c r="M52" i="6"/>
  <c r="O52" i="6"/>
  <c r="P52" i="6"/>
  <c r="Q52" i="6"/>
  <c r="S52" i="6"/>
  <c r="L53" i="6"/>
  <c r="N53" i="6" s="1"/>
  <c r="R53" i="6" s="1"/>
  <c r="M53" i="6"/>
  <c r="O53" i="6"/>
  <c r="S53" i="6" s="1"/>
  <c r="P53" i="6"/>
  <c r="Q53" i="6"/>
  <c r="L54" i="6"/>
  <c r="N54" i="6" s="1"/>
  <c r="R54" i="6" s="1"/>
  <c r="M54" i="6"/>
  <c r="O54" i="6" s="1"/>
  <c r="S54" i="6" s="1"/>
  <c r="P54" i="6"/>
  <c r="Q54" i="6"/>
  <c r="L55" i="6"/>
  <c r="N55" i="6" s="1"/>
  <c r="R55" i="6" s="1"/>
  <c r="M55" i="6"/>
  <c r="O55" i="6"/>
  <c r="P55" i="6"/>
  <c r="Q55" i="6"/>
  <c r="S55" i="6"/>
  <c r="L56" i="6"/>
  <c r="N56" i="6" s="1"/>
  <c r="R56" i="6" s="1"/>
  <c r="M56" i="6"/>
  <c r="O56" i="6"/>
  <c r="P56" i="6"/>
  <c r="Q56" i="6"/>
  <c r="S56" i="6"/>
  <c r="L57" i="6"/>
  <c r="N57" i="6" s="1"/>
  <c r="R57" i="6" s="1"/>
  <c r="M57" i="6"/>
  <c r="O57" i="6"/>
  <c r="S57" i="6" s="1"/>
  <c r="P57" i="6"/>
  <c r="Q57" i="6"/>
  <c r="L58" i="6"/>
  <c r="N58" i="6" s="1"/>
  <c r="R58" i="6" s="1"/>
  <c r="M58" i="6"/>
  <c r="O58" i="6" s="1"/>
  <c r="S58" i="6" s="1"/>
  <c r="P58" i="6"/>
  <c r="Q58" i="6"/>
  <c r="L59" i="6"/>
  <c r="N59" i="6" s="1"/>
  <c r="R59" i="6" s="1"/>
  <c r="M59" i="6"/>
  <c r="O59" i="6"/>
  <c r="P59" i="6"/>
  <c r="Q59" i="6"/>
  <c r="S59" i="6"/>
  <c r="L60" i="6"/>
  <c r="N60" i="6" s="1"/>
  <c r="R60" i="6" s="1"/>
  <c r="M60" i="6"/>
  <c r="O60" i="6"/>
  <c r="P60" i="6"/>
  <c r="Q60" i="6"/>
  <c r="S60" i="6"/>
  <c r="L61" i="6"/>
  <c r="N61" i="6" s="1"/>
  <c r="R61" i="6" s="1"/>
  <c r="M61" i="6"/>
  <c r="O61" i="6"/>
  <c r="S61" i="6" s="1"/>
  <c r="P61" i="6"/>
  <c r="Q61" i="6"/>
  <c r="L62" i="6"/>
  <c r="N62" i="6" s="1"/>
  <c r="R62" i="6" s="1"/>
  <c r="M62" i="6"/>
  <c r="O62" i="6" s="1"/>
  <c r="S62" i="6" s="1"/>
  <c r="P62" i="6"/>
  <c r="Q62" i="6"/>
  <c r="L63" i="6"/>
  <c r="N63" i="6" s="1"/>
  <c r="R63" i="6" s="1"/>
  <c r="M63" i="6"/>
  <c r="O63" i="6"/>
  <c r="P63" i="6"/>
  <c r="Q63" i="6"/>
  <c r="S63" i="6"/>
  <c r="L64" i="6"/>
  <c r="N64" i="6" s="1"/>
  <c r="R64" i="6" s="1"/>
  <c r="M64" i="6"/>
  <c r="O64" i="6"/>
  <c r="P64" i="6"/>
  <c r="Q64" i="6"/>
  <c r="S64" i="6"/>
  <c r="Q4" i="6"/>
  <c r="P4" i="6"/>
  <c r="O4" i="6"/>
  <c r="N4" i="6"/>
  <c r="M4" i="6"/>
  <c r="L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4" i="6"/>
  <c r="C64" i="6"/>
  <c r="D64" i="6" s="1"/>
  <c r="E64" i="6" s="1"/>
  <c r="C63" i="6"/>
  <c r="D63" i="6" s="1"/>
  <c r="E63" i="6" s="1"/>
  <c r="C62" i="6"/>
  <c r="D62" i="6" s="1"/>
  <c r="E62" i="6" s="1"/>
  <c r="F62" i="6" s="1"/>
  <c r="D61" i="6"/>
  <c r="E61" i="6" s="1"/>
  <c r="C61" i="6"/>
  <c r="C60" i="6"/>
  <c r="D60" i="6" s="1"/>
  <c r="E60" i="6" s="1"/>
  <c r="D59" i="6"/>
  <c r="E59" i="6" s="1"/>
  <c r="C59" i="6"/>
  <c r="C58" i="6"/>
  <c r="D58" i="6" s="1"/>
  <c r="E58" i="6" s="1"/>
  <c r="D57" i="6"/>
  <c r="E57" i="6" s="1"/>
  <c r="G57" i="6" s="1"/>
  <c r="C57" i="6"/>
  <c r="C56" i="6"/>
  <c r="D56" i="6" s="1"/>
  <c r="E56" i="6" s="1"/>
  <c r="C55" i="6"/>
  <c r="D55" i="6" s="1"/>
  <c r="E55" i="6" s="1"/>
  <c r="C54" i="6"/>
  <c r="D54" i="6" s="1"/>
  <c r="E54" i="6" s="1"/>
  <c r="D53" i="6"/>
  <c r="E53" i="6" s="1"/>
  <c r="C53" i="6"/>
  <c r="E52" i="6"/>
  <c r="C52" i="6"/>
  <c r="D52" i="6" s="1"/>
  <c r="G51" i="6"/>
  <c r="F51" i="6"/>
  <c r="D51" i="6"/>
  <c r="E51" i="6" s="1"/>
  <c r="C51" i="6"/>
  <c r="D50" i="6"/>
  <c r="E50" i="6" s="1"/>
  <c r="F50" i="6" s="1"/>
  <c r="C50" i="6"/>
  <c r="D49" i="6"/>
  <c r="E49" i="6" s="1"/>
  <c r="G49" i="6" s="1"/>
  <c r="C49" i="6"/>
  <c r="F48" i="6"/>
  <c r="E48" i="6"/>
  <c r="G48" i="6" s="1"/>
  <c r="C48" i="6"/>
  <c r="D48" i="6" s="1"/>
  <c r="F47" i="6"/>
  <c r="D47" i="6"/>
  <c r="E47" i="6" s="1"/>
  <c r="G47" i="6" s="1"/>
  <c r="C47" i="6"/>
  <c r="G46" i="6"/>
  <c r="E46" i="6"/>
  <c r="F46" i="6" s="1"/>
  <c r="C46" i="6"/>
  <c r="D46" i="6" s="1"/>
  <c r="F45" i="6"/>
  <c r="E45" i="6"/>
  <c r="G45" i="6" s="1"/>
  <c r="D45" i="6"/>
  <c r="C45" i="6"/>
  <c r="G44" i="6"/>
  <c r="E44" i="6"/>
  <c r="F44" i="6" s="1"/>
  <c r="C44" i="6"/>
  <c r="D44" i="6" s="1"/>
  <c r="G43" i="6"/>
  <c r="F43" i="6"/>
  <c r="D43" i="6"/>
  <c r="E43" i="6" s="1"/>
  <c r="C43" i="6"/>
  <c r="C42" i="6"/>
  <c r="D42" i="6" s="1"/>
  <c r="E42" i="6" s="1"/>
  <c r="D41" i="6"/>
  <c r="E41" i="6" s="1"/>
  <c r="G41" i="6" s="1"/>
  <c r="C41" i="6"/>
  <c r="C40" i="6"/>
  <c r="D40" i="6" s="1"/>
  <c r="E40" i="6" s="1"/>
  <c r="C39" i="6"/>
  <c r="D39" i="6" s="1"/>
  <c r="E39" i="6" s="1"/>
  <c r="C38" i="6"/>
  <c r="D38" i="6" s="1"/>
  <c r="E38" i="6" s="1"/>
  <c r="D37" i="6"/>
  <c r="E37" i="6" s="1"/>
  <c r="C37" i="6"/>
  <c r="E36" i="6"/>
  <c r="C36" i="6"/>
  <c r="D36" i="6" s="1"/>
  <c r="D35" i="6"/>
  <c r="E35" i="6" s="1"/>
  <c r="C35" i="6"/>
  <c r="C34" i="6"/>
  <c r="D34" i="6" s="1"/>
  <c r="E34" i="6" s="1"/>
  <c r="F34" i="6" s="1"/>
  <c r="D33" i="6"/>
  <c r="E33" i="6" s="1"/>
  <c r="C33" i="6"/>
  <c r="C32" i="6"/>
  <c r="D32" i="6" s="1"/>
  <c r="E32" i="6" s="1"/>
  <c r="D31" i="6"/>
  <c r="E31" i="6" s="1"/>
  <c r="G31" i="6" s="1"/>
  <c r="C31" i="6"/>
  <c r="C30" i="6"/>
  <c r="D30" i="6" s="1"/>
  <c r="E30" i="6" s="1"/>
  <c r="F30" i="6" s="1"/>
  <c r="C29" i="6"/>
  <c r="D29" i="6" s="1"/>
  <c r="E29" i="6" s="1"/>
  <c r="E28" i="6"/>
  <c r="F28" i="6" s="1"/>
  <c r="C28" i="6"/>
  <c r="D28" i="6" s="1"/>
  <c r="E27" i="6"/>
  <c r="F27" i="6" s="1"/>
  <c r="D27" i="6"/>
  <c r="C27" i="6"/>
  <c r="C26" i="6"/>
  <c r="D26" i="6" s="1"/>
  <c r="E26" i="6" s="1"/>
  <c r="F26" i="6" s="1"/>
  <c r="D25" i="6"/>
  <c r="E25" i="6" s="1"/>
  <c r="C25" i="6"/>
  <c r="C24" i="6"/>
  <c r="D24" i="6" s="1"/>
  <c r="E24" i="6" s="1"/>
  <c r="D23" i="6"/>
  <c r="E23" i="6" s="1"/>
  <c r="G23" i="6" s="1"/>
  <c r="C23" i="6"/>
  <c r="G22" i="6"/>
  <c r="C22" i="6"/>
  <c r="D22" i="6" s="1"/>
  <c r="E22" i="6" s="1"/>
  <c r="F22" i="6" s="1"/>
  <c r="C21" i="6"/>
  <c r="D21" i="6" s="1"/>
  <c r="E21" i="6" s="1"/>
  <c r="E20" i="6"/>
  <c r="F20" i="6" s="1"/>
  <c r="C20" i="6"/>
  <c r="D20" i="6" s="1"/>
  <c r="D19" i="6"/>
  <c r="E19" i="6" s="1"/>
  <c r="C19" i="6"/>
  <c r="C18" i="6"/>
  <c r="D18" i="6" s="1"/>
  <c r="E18" i="6" s="1"/>
  <c r="F18" i="6" s="1"/>
  <c r="D17" i="6"/>
  <c r="E17" i="6" s="1"/>
  <c r="C17" i="6"/>
  <c r="C16" i="6"/>
  <c r="D16" i="6" s="1"/>
  <c r="E16" i="6" s="1"/>
  <c r="D15" i="6"/>
  <c r="E15" i="6" s="1"/>
  <c r="G15" i="6" s="1"/>
  <c r="C15" i="6"/>
  <c r="C14" i="6"/>
  <c r="D14" i="6" s="1"/>
  <c r="E14" i="6" s="1"/>
  <c r="F14" i="6" s="1"/>
  <c r="D13" i="6"/>
  <c r="E13" i="6" s="1"/>
  <c r="C13" i="6"/>
  <c r="E12" i="6"/>
  <c r="F12" i="6" s="1"/>
  <c r="C12" i="6"/>
  <c r="D12" i="6" s="1"/>
  <c r="D11" i="6"/>
  <c r="E11" i="6" s="1"/>
  <c r="C11" i="6"/>
  <c r="G10" i="6"/>
  <c r="C10" i="6"/>
  <c r="D10" i="6" s="1"/>
  <c r="E10" i="6" s="1"/>
  <c r="F10" i="6" s="1"/>
  <c r="D9" i="6"/>
  <c r="E9" i="6" s="1"/>
  <c r="G9" i="6" s="1"/>
  <c r="C9" i="6"/>
  <c r="C8" i="6"/>
  <c r="D8" i="6" s="1"/>
  <c r="E8" i="6" s="1"/>
  <c r="C7" i="6"/>
  <c r="D7" i="6" s="1"/>
  <c r="E7" i="6" s="1"/>
  <c r="E6" i="6"/>
  <c r="G6" i="6" s="1"/>
  <c r="D6" i="6"/>
  <c r="C6" i="6"/>
  <c r="E5" i="6"/>
  <c r="F5" i="6" s="1"/>
  <c r="C5" i="6"/>
  <c r="D5" i="6" s="1"/>
  <c r="D4" i="6"/>
  <c r="E4" i="6" s="1"/>
  <c r="F4" i="6" s="1"/>
  <c r="C4" i="6"/>
  <c r="K5" i="5"/>
  <c r="M5" i="5" s="1"/>
  <c r="L5" i="5"/>
  <c r="N5" i="5" s="1"/>
  <c r="K6" i="5"/>
  <c r="M6" i="5" s="1"/>
  <c r="L6" i="5"/>
  <c r="N6" i="5" s="1"/>
  <c r="K7" i="5"/>
  <c r="M7" i="5" s="1"/>
  <c r="L7" i="5"/>
  <c r="N7" i="5" s="1"/>
  <c r="K8" i="5"/>
  <c r="M8" i="5" s="1"/>
  <c r="L8" i="5"/>
  <c r="N8" i="5"/>
  <c r="K9" i="5"/>
  <c r="M9" i="5" s="1"/>
  <c r="L9" i="5"/>
  <c r="N9" i="5" s="1"/>
  <c r="K10" i="5"/>
  <c r="M10" i="5" s="1"/>
  <c r="Q10" i="5" s="1"/>
  <c r="L10" i="5"/>
  <c r="N10" i="5" s="1"/>
  <c r="K11" i="5"/>
  <c r="M11" i="5" s="1"/>
  <c r="L11" i="5"/>
  <c r="N11" i="5" s="1"/>
  <c r="K12" i="5"/>
  <c r="M12" i="5" s="1"/>
  <c r="L12" i="5"/>
  <c r="N12" i="5"/>
  <c r="K13" i="5"/>
  <c r="M13" i="5" s="1"/>
  <c r="L13" i="5"/>
  <c r="N13" i="5" s="1"/>
  <c r="K14" i="5"/>
  <c r="M14" i="5" s="1"/>
  <c r="L14" i="5"/>
  <c r="N14" i="5" s="1"/>
  <c r="K15" i="5"/>
  <c r="M15" i="5" s="1"/>
  <c r="L15" i="5"/>
  <c r="N15" i="5" s="1"/>
  <c r="K16" i="5"/>
  <c r="M16" i="5" s="1"/>
  <c r="L16" i="5"/>
  <c r="N16" i="5" s="1"/>
  <c r="K17" i="5"/>
  <c r="M17" i="5" s="1"/>
  <c r="L17" i="5"/>
  <c r="N17" i="5" s="1"/>
  <c r="K18" i="5"/>
  <c r="M18" i="5" s="1"/>
  <c r="L18" i="5"/>
  <c r="N18" i="5" s="1"/>
  <c r="K19" i="5"/>
  <c r="M19" i="5" s="1"/>
  <c r="L19" i="5"/>
  <c r="N19" i="5" s="1"/>
  <c r="K20" i="5"/>
  <c r="M20" i="5" s="1"/>
  <c r="L20" i="5"/>
  <c r="N20" i="5" s="1"/>
  <c r="K21" i="5"/>
  <c r="M21" i="5" s="1"/>
  <c r="L21" i="5"/>
  <c r="N21" i="5" s="1"/>
  <c r="K22" i="5"/>
  <c r="M22" i="5" s="1"/>
  <c r="L22" i="5"/>
  <c r="N22" i="5" s="1"/>
  <c r="K23" i="5"/>
  <c r="M23" i="5" s="1"/>
  <c r="L23" i="5"/>
  <c r="N23" i="5" s="1"/>
  <c r="K24" i="5"/>
  <c r="M24" i="5" s="1"/>
  <c r="L24" i="5"/>
  <c r="N24" i="5"/>
  <c r="K25" i="5"/>
  <c r="M25" i="5" s="1"/>
  <c r="L25" i="5"/>
  <c r="N25" i="5" s="1"/>
  <c r="K26" i="5"/>
  <c r="M26" i="5" s="1"/>
  <c r="L26" i="5"/>
  <c r="N26" i="5" s="1"/>
  <c r="K27" i="5"/>
  <c r="M27" i="5" s="1"/>
  <c r="L27" i="5"/>
  <c r="N27" i="5" s="1"/>
  <c r="K28" i="5"/>
  <c r="M28" i="5" s="1"/>
  <c r="L28" i="5"/>
  <c r="N28" i="5"/>
  <c r="K29" i="5"/>
  <c r="M29" i="5" s="1"/>
  <c r="L29" i="5"/>
  <c r="N29" i="5" s="1"/>
  <c r="K30" i="5"/>
  <c r="M30" i="5" s="1"/>
  <c r="L30" i="5"/>
  <c r="N30" i="5" s="1"/>
  <c r="K31" i="5"/>
  <c r="M31" i="5" s="1"/>
  <c r="L31" i="5"/>
  <c r="N31" i="5" s="1"/>
  <c r="K32" i="5"/>
  <c r="M32" i="5" s="1"/>
  <c r="L32" i="5"/>
  <c r="N32" i="5" s="1"/>
  <c r="K33" i="5"/>
  <c r="M33" i="5" s="1"/>
  <c r="L33" i="5"/>
  <c r="N33" i="5" s="1"/>
  <c r="K34" i="5"/>
  <c r="M34" i="5" s="1"/>
  <c r="L34" i="5"/>
  <c r="N34" i="5" s="1"/>
  <c r="K35" i="5"/>
  <c r="M35" i="5" s="1"/>
  <c r="L35" i="5"/>
  <c r="N35" i="5" s="1"/>
  <c r="K36" i="5"/>
  <c r="M36" i="5" s="1"/>
  <c r="L36" i="5"/>
  <c r="N36" i="5"/>
  <c r="K37" i="5"/>
  <c r="M37" i="5" s="1"/>
  <c r="L37" i="5"/>
  <c r="N37" i="5" s="1"/>
  <c r="K38" i="5"/>
  <c r="M38" i="5" s="1"/>
  <c r="L38" i="5"/>
  <c r="N38" i="5"/>
  <c r="K39" i="5"/>
  <c r="M39" i="5" s="1"/>
  <c r="L39" i="5"/>
  <c r="N39" i="5" s="1"/>
  <c r="K40" i="5"/>
  <c r="M40" i="5" s="1"/>
  <c r="L40" i="5"/>
  <c r="N40" i="5" s="1"/>
  <c r="K41" i="5"/>
  <c r="M41" i="5" s="1"/>
  <c r="L41" i="5"/>
  <c r="N41" i="5" s="1"/>
  <c r="K42" i="5"/>
  <c r="M42" i="5" s="1"/>
  <c r="L42" i="5"/>
  <c r="N42" i="5"/>
  <c r="K43" i="5"/>
  <c r="M43" i="5" s="1"/>
  <c r="L43" i="5"/>
  <c r="N43" i="5" s="1"/>
  <c r="K44" i="5"/>
  <c r="M44" i="5" s="1"/>
  <c r="L44" i="5"/>
  <c r="N44" i="5" s="1"/>
  <c r="K45" i="5"/>
  <c r="M45" i="5" s="1"/>
  <c r="L45" i="5"/>
  <c r="N45" i="5" s="1"/>
  <c r="K46" i="5"/>
  <c r="M46" i="5" s="1"/>
  <c r="L46" i="5"/>
  <c r="N46" i="5" s="1"/>
  <c r="K47" i="5"/>
  <c r="M47" i="5" s="1"/>
  <c r="L47" i="5"/>
  <c r="N47" i="5" s="1"/>
  <c r="K48" i="5"/>
  <c r="M48" i="5" s="1"/>
  <c r="L48" i="5"/>
  <c r="N48" i="5"/>
  <c r="K49" i="5"/>
  <c r="M49" i="5" s="1"/>
  <c r="L49" i="5"/>
  <c r="N49" i="5" s="1"/>
  <c r="K50" i="5"/>
  <c r="M50" i="5" s="1"/>
  <c r="L50" i="5"/>
  <c r="N50" i="5" s="1"/>
  <c r="K51" i="5"/>
  <c r="M51" i="5" s="1"/>
  <c r="L51" i="5"/>
  <c r="N51" i="5" s="1"/>
  <c r="K52" i="5"/>
  <c r="M52" i="5" s="1"/>
  <c r="L52" i="5"/>
  <c r="N52" i="5"/>
  <c r="K53" i="5"/>
  <c r="M53" i="5" s="1"/>
  <c r="L53" i="5"/>
  <c r="N53" i="5" s="1"/>
  <c r="K54" i="5"/>
  <c r="M54" i="5" s="1"/>
  <c r="L54" i="5"/>
  <c r="N54" i="5" s="1"/>
  <c r="K55" i="5"/>
  <c r="M55" i="5" s="1"/>
  <c r="L55" i="5"/>
  <c r="N55" i="5" s="1"/>
  <c r="K56" i="5"/>
  <c r="M56" i="5" s="1"/>
  <c r="L56" i="5"/>
  <c r="N56" i="5" s="1"/>
  <c r="K57" i="5"/>
  <c r="M57" i="5" s="1"/>
  <c r="L57" i="5"/>
  <c r="N57" i="5" s="1"/>
  <c r="K58" i="5"/>
  <c r="M58" i="5" s="1"/>
  <c r="L58" i="5"/>
  <c r="N58" i="5"/>
  <c r="K59" i="5"/>
  <c r="M59" i="5" s="1"/>
  <c r="L59" i="5"/>
  <c r="N59" i="5" s="1"/>
  <c r="K60" i="5"/>
  <c r="M60" i="5" s="1"/>
  <c r="L60" i="5"/>
  <c r="N60" i="5" s="1"/>
  <c r="K61" i="5"/>
  <c r="M61" i="5" s="1"/>
  <c r="L61" i="5"/>
  <c r="N61" i="5" s="1"/>
  <c r="K62" i="5"/>
  <c r="M62" i="5" s="1"/>
  <c r="L62" i="5"/>
  <c r="N62" i="5" s="1"/>
  <c r="K63" i="5"/>
  <c r="M63" i="5" s="1"/>
  <c r="L63" i="5"/>
  <c r="N63" i="5" s="1"/>
  <c r="K64" i="5"/>
  <c r="M64" i="5" s="1"/>
  <c r="L64" i="5"/>
  <c r="N64" i="5"/>
  <c r="M4" i="5"/>
  <c r="L4" i="5"/>
  <c r="N4" i="5" s="1"/>
  <c r="K4" i="5"/>
  <c r="C64" i="5"/>
  <c r="D64" i="5" s="1"/>
  <c r="E64" i="5" s="1"/>
  <c r="C63" i="5"/>
  <c r="D63" i="5" s="1"/>
  <c r="E63" i="5" s="1"/>
  <c r="D62" i="5"/>
  <c r="E62" i="5" s="1"/>
  <c r="C62" i="5"/>
  <c r="C61" i="5"/>
  <c r="D61" i="5" s="1"/>
  <c r="E61" i="5" s="1"/>
  <c r="F61" i="5" s="1"/>
  <c r="D60" i="5"/>
  <c r="E60" i="5" s="1"/>
  <c r="G60" i="5" s="1"/>
  <c r="C60" i="5"/>
  <c r="C59" i="5"/>
  <c r="D59" i="5" s="1"/>
  <c r="E59" i="5" s="1"/>
  <c r="D58" i="5"/>
  <c r="E58" i="5" s="1"/>
  <c r="G58" i="5" s="1"/>
  <c r="C58" i="5"/>
  <c r="C57" i="5"/>
  <c r="D57" i="5" s="1"/>
  <c r="E57" i="5" s="1"/>
  <c r="C56" i="5"/>
  <c r="D56" i="5" s="1"/>
  <c r="E56" i="5" s="1"/>
  <c r="G56" i="5" s="1"/>
  <c r="C55" i="5"/>
  <c r="D55" i="5" s="1"/>
  <c r="E55" i="5" s="1"/>
  <c r="D54" i="5"/>
  <c r="E54" i="5" s="1"/>
  <c r="C54" i="5"/>
  <c r="C53" i="5"/>
  <c r="D53" i="5" s="1"/>
  <c r="E53" i="5" s="1"/>
  <c r="D52" i="5"/>
  <c r="E52" i="5" s="1"/>
  <c r="G52" i="5" s="1"/>
  <c r="C52" i="5"/>
  <c r="G51" i="5"/>
  <c r="P51" i="5" s="1"/>
  <c r="C51" i="5"/>
  <c r="D51" i="5" s="1"/>
  <c r="E51" i="5" s="1"/>
  <c r="F51" i="5" s="1"/>
  <c r="D50" i="5"/>
  <c r="E50" i="5" s="1"/>
  <c r="G50" i="5" s="1"/>
  <c r="C50" i="5"/>
  <c r="E49" i="5"/>
  <c r="C49" i="5"/>
  <c r="D49" i="5" s="1"/>
  <c r="F48" i="5"/>
  <c r="O48" i="5" s="1"/>
  <c r="C48" i="5"/>
  <c r="D48" i="5" s="1"/>
  <c r="E48" i="5" s="1"/>
  <c r="G48" i="5" s="1"/>
  <c r="C47" i="5"/>
  <c r="D47" i="5" s="1"/>
  <c r="E47" i="5" s="1"/>
  <c r="D46" i="5"/>
  <c r="E46" i="5" s="1"/>
  <c r="C46" i="5"/>
  <c r="C45" i="5"/>
  <c r="D45" i="5" s="1"/>
  <c r="E45" i="5" s="1"/>
  <c r="O44" i="5"/>
  <c r="G44" i="5"/>
  <c r="F44" i="5"/>
  <c r="D44" i="5"/>
  <c r="E44" i="5" s="1"/>
  <c r="C44" i="5"/>
  <c r="D43" i="5"/>
  <c r="E43" i="5" s="1"/>
  <c r="F43" i="5" s="1"/>
  <c r="C43" i="5"/>
  <c r="D42" i="5"/>
  <c r="E42" i="5" s="1"/>
  <c r="G42" i="5" s="1"/>
  <c r="P42" i="5" s="1"/>
  <c r="C42" i="5"/>
  <c r="C41" i="5"/>
  <c r="D41" i="5" s="1"/>
  <c r="E41" i="5" s="1"/>
  <c r="C40" i="5"/>
  <c r="D40" i="5" s="1"/>
  <c r="E40" i="5" s="1"/>
  <c r="G40" i="5" s="1"/>
  <c r="C39" i="5"/>
  <c r="D39" i="5" s="1"/>
  <c r="E39" i="5" s="1"/>
  <c r="C38" i="5"/>
  <c r="D38" i="5" s="1"/>
  <c r="E38" i="5" s="1"/>
  <c r="C37" i="5"/>
  <c r="D37" i="5" s="1"/>
  <c r="E37" i="5" s="1"/>
  <c r="E36" i="5"/>
  <c r="F36" i="5" s="1"/>
  <c r="D36" i="5"/>
  <c r="C36" i="5"/>
  <c r="C35" i="5"/>
  <c r="D35" i="5" s="1"/>
  <c r="E35" i="5" s="1"/>
  <c r="G34" i="5"/>
  <c r="P34" i="5" s="1"/>
  <c r="D34" i="5"/>
  <c r="E34" i="5" s="1"/>
  <c r="F34" i="5" s="1"/>
  <c r="C34" i="5"/>
  <c r="D33" i="5"/>
  <c r="E33" i="5" s="1"/>
  <c r="C33" i="5"/>
  <c r="C32" i="5"/>
  <c r="D32" i="5" s="1"/>
  <c r="E32" i="5" s="1"/>
  <c r="G32" i="5" s="1"/>
  <c r="P32" i="5" s="1"/>
  <c r="E31" i="5"/>
  <c r="G31" i="5" s="1"/>
  <c r="C31" i="5"/>
  <c r="D31" i="5" s="1"/>
  <c r="D30" i="5"/>
  <c r="E30" i="5" s="1"/>
  <c r="C30" i="5"/>
  <c r="E29" i="5"/>
  <c r="F29" i="5" s="1"/>
  <c r="O29" i="5" s="1"/>
  <c r="C29" i="5"/>
  <c r="D29" i="5" s="1"/>
  <c r="G28" i="5"/>
  <c r="F28" i="5"/>
  <c r="E28" i="5"/>
  <c r="D28" i="5"/>
  <c r="C28" i="5"/>
  <c r="C27" i="5"/>
  <c r="D27" i="5" s="1"/>
  <c r="E27" i="5" s="1"/>
  <c r="G26" i="5"/>
  <c r="P26" i="5" s="1"/>
  <c r="D26" i="5"/>
  <c r="E26" i="5" s="1"/>
  <c r="F26" i="5" s="1"/>
  <c r="C26" i="5"/>
  <c r="C25" i="5"/>
  <c r="D25" i="5" s="1"/>
  <c r="E25" i="5" s="1"/>
  <c r="C24" i="5"/>
  <c r="D24" i="5" s="1"/>
  <c r="E24" i="5" s="1"/>
  <c r="G24" i="5" s="1"/>
  <c r="P24" i="5" s="1"/>
  <c r="C23" i="5"/>
  <c r="D23" i="5" s="1"/>
  <c r="E23" i="5" s="1"/>
  <c r="C22" i="5"/>
  <c r="D22" i="5" s="1"/>
  <c r="E22" i="5" s="1"/>
  <c r="C21" i="5"/>
  <c r="D21" i="5" s="1"/>
  <c r="E21" i="5" s="1"/>
  <c r="E20" i="5"/>
  <c r="F20" i="5" s="1"/>
  <c r="D20" i="5"/>
  <c r="C20" i="5"/>
  <c r="C19" i="5"/>
  <c r="D19" i="5" s="1"/>
  <c r="E19" i="5" s="1"/>
  <c r="D18" i="5"/>
  <c r="E18" i="5" s="1"/>
  <c r="F18" i="5" s="1"/>
  <c r="C18" i="5"/>
  <c r="D17" i="5"/>
  <c r="E17" i="5" s="1"/>
  <c r="C17" i="5"/>
  <c r="C16" i="5"/>
  <c r="D16" i="5" s="1"/>
  <c r="E16" i="5" s="1"/>
  <c r="G16" i="5" s="1"/>
  <c r="P16" i="5" s="1"/>
  <c r="E15" i="5"/>
  <c r="G15" i="5" s="1"/>
  <c r="C15" i="5"/>
  <c r="D15" i="5" s="1"/>
  <c r="C14" i="5"/>
  <c r="D14" i="5" s="1"/>
  <c r="E14" i="5" s="1"/>
  <c r="C13" i="5"/>
  <c r="D13" i="5" s="1"/>
  <c r="E13" i="5" s="1"/>
  <c r="E12" i="5"/>
  <c r="F12" i="5" s="1"/>
  <c r="D12" i="5"/>
  <c r="C12" i="5"/>
  <c r="D11" i="5"/>
  <c r="E11" i="5" s="1"/>
  <c r="C11" i="5"/>
  <c r="G10" i="5"/>
  <c r="P10" i="5" s="1"/>
  <c r="F10" i="5"/>
  <c r="O10" i="5" s="1"/>
  <c r="D10" i="5"/>
  <c r="E10" i="5" s="1"/>
  <c r="C10" i="5"/>
  <c r="D9" i="5"/>
  <c r="E9" i="5" s="1"/>
  <c r="C9" i="5"/>
  <c r="D8" i="5"/>
  <c r="E8" i="5" s="1"/>
  <c r="C8" i="5"/>
  <c r="D7" i="5"/>
  <c r="E7" i="5" s="1"/>
  <c r="C7" i="5"/>
  <c r="C6" i="5"/>
  <c r="D6" i="5" s="1"/>
  <c r="E6" i="5" s="1"/>
  <c r="C5" i="5"/>
  <c r="D5" i="5" s="1"/>
  <c r="E5" i="5" s="1"/>
  <c r="C4" i="5"/>
  <c r="D4" i="5" s="1"/>
  <c r="E4" i="5" s="1"/>
  <c r="Q11" i="7" l="1"/>
  <c r="U11" i="7" s="1"/>
  <c r="Q12" i="7"/>
  <c r="U12" i="7" s="1"/>
  <c r="R14" i="7"/>
  <c r="Q8" i="7"/>
  <c r="U8" i="7" s="1"/>
  <c r="Q18" i="7"/>
  <c r="U18" i="7" s="1"/>
  <c r="R10" i="7"/>
  <c r="R19" i="7"/>
  <c r="V19" i="7" s="1"/>
  <c r="R18" i="7"/>
  <c r="V18" i="7" s="1"/>
  <c r="Q4" i="7"/>
  <c r="S21" i="7"/>
  <c r="O21" i="7"/>
  <c r="T49" i="7"/>
  <c r="P49" i="7"/>
  <c r="T60" i="7"/>
  <c r="P60" i="7"/>
  <c r="P54" i="7"/>
  <c r="T54" i="7"/>
  <c r="P22" i="7"/>
  <c r="T22" i="7"/>
  <c r="P39" i="7"/>
  <c r="T39" i="7"/>
  <c r="S44" i="7"/>
  <c r="O44" i="7"/>
  <c r="S57" i="7"/>
  <c r="O57" i="7"/>
  <c r="P46" i="7"/>
  <c r="T46" i="7"/>
  <c r="P42" i="7"/>
  <c r="T42" i="7"/>
  <c r="T24" i="7"/>
  <c r="P24" i="7"/>
  <c r="O58" i="7"/>
  <c r="S58" i="7"/>
  <c r="T17" i="7"/>
  <c r="P17" i="7"/>
  <c r="O59" i="7"/>
  <c r="S59" i="7"/>
  <c r="T16" i="7"/>
  <c r="P16" i="7"/>
  <c r="O47" i="7"/>
  <c r="S47" i="7"/>
  <c r="S60" i="7"/>
  <c r="O60" i="7"/>
  <c r="S41" i="7"/>
  <c r="O41" i="7"/>
  <c r="T36" i="7"/>
  <c r="P36" i="7"/>
  <c r="O23" i="7"/>
  <c r="S23" i="7"/>
  <c r="T57" i="7"/>
  <c r="P57" i="7"/>
  <c r="P6" i="7"/>
  <c r="T6" i="7"/>
  <c r="S24" i="7"/>
  <c r="O24" i="7"/>
  <c r="P58" i="7"/>
  <c r="T58" i="7"/>
  <c r="O17" i="7"/>
  <c r="S17" i="7"/>
  <c r="P59" i="7"/>
  <c r="T59" i="7"/>
  <c r="P15" i="7"/>
  <c r="T15" i="7"/>
  <c r="P47" i="7"/>
  <c r="T47" i="7"/>
  <c r="T41" i="7"/>
  <c r="P41" i="7"/>
  <c r="T4" i="7"/>
  <c r="P4" i="7"/>
  <c r="S36" i="7"/>
  <c r="O36" i="7"/>
  <c r="O55" i="7"/>
  <c r="S55" i="7"/>
  <c r="V14" i="7"/>
  <c r="S6" i="7"/>
  <c r="O6" i="7"/>
  <c r="O43" i="7"/>
  <c r="S43" i="7"/>
  <c r="T13" i="7"/>
  <c r="P13" i="7"/>
  <c r="O35" i="7"/>
  <c r="S35" i="7"/>
  <c r="T40" i="7"/>
  <c r="P40" i="7"/>
  <c r="T64" i="7"/>
  <c r="P64" i="7"/>
  <c r="O38" i="7"/>
  <c r="S38" i="7"/>
  <c r="S10" i="7"/>
  <c r="O10" i="7"/>
  <c r="S33" i="7"/>
  <c r="O33" i="7"/>
  <c r="T52" i="7"/>
  <c r="P52" i="7"/>
  <c r="O31" i="7"/>
  <c r="S31" i="7"/>
  <c r="P55" i="7"/>
  <c r="T55" i="7"/>
  <c r="S19" i="7"/>
  <c r="O19" i="7"/>
  <c r="T37" i="7"/>
  <c r="P37" i="7"/>
  <c r="T9" i="7"/>
  <c r="P9" i="7"/>
  <c r="O27" i="7"/>
  <c r="S27" i="7"/>
  <c r="V10" i="7"/>
  <c r="P43" i="7"/>
  <c r="T43" i="7"/>
  <c r="S13" i="7"/>
  <c r="O13" i="7"/>
  <c r="P35" i="7"/>
  <c r="T35" i="7"/>
  <c r="O14" i="7"/>
  <c r="S14" i="7"/>
  <c r="S40" i="7"/>
  <c r="O40" i="7"/>
  <c r="S29" i="7"/>
  <c r="O29" i="7"/>
  <c r="T20" i="7"/>
  <c r="P20" i="7"/>
  <c r="S64" i="7"/>
  <c r="O64" i="7"/>
  <c r="S7" i="7"/>
  <c r="O7" i="7"/>
  <c r="S52" i="7"/>
  <c r="O52" i="7"/>
  <c r="T32" i="7"/>
  <c r="P32" i="7"/>
  <c r="O62" i="7"/>
  <c r="S62" i="7"/>
  <c r="O30" i="7"/>
  <c r="S30" i="7"/>
  <c r="T56" i="7"/>
  <c r="P56" i="7"/>
  <c r="S25" i="7"/>
  <c r="O25" i="7"/>
  <c r="O50" i="7"/>
  <c r="S50" i="7"/>
  <c r="T28" i="7"/>
  <c r="P28" i="7"/>
  <c r="S48" i="7"/>
  <c r="O48" i="7"/>
  <c r="T29" i="7"/>
  <c r="P29" i="7"/>
  <c r="S61" i="7"/>
  <c r="O61" i="7"/>
  <c r="O51" i="7"/>
  <c r="S51" i="7"/>
  <c r="P63" i="7"/>
  <c r="T63" i="7"/>
  <c r="V7" i="7"/>
  <c r="P34" i="7"/>
  <c r="T34" i="7"/>
  <c r="O5" i="7"/>
  <c r="S5" i="7"/>
  <c r="V23" i="7"/>
  <c r="S37" i="7"/>
  <c r="O37" i="7"/>
  <c r="P38" i="7"/>
  <c r="T38" i="7"/>
  <c r="T33" i="7"/>
  <c r="P33" i="7"/>
  <c r="P31" i="7"/>
  <c r="T31" i="7"/>
  <c r="T48" i="7"/>
  <c r="P48" i="7"/>
  <c r="O9" i="7"/>
  <c r="S9" i="7"/>
  <c r="P27" i="7"/>
  <c r="T27" i="7"/>
  <c r="O63" i="7"/>
  <c r="S63" i="7"/>
  <c r="O34" i="7"/>
  <c r="S34" i="7"/>
  <c r="T5" i="7"/>
  <c r="P5" i="7"/>
  <c r="S32" i="7"/>
  <c r="O32" i="7"/>
  <c r="P62" i="7"/>
  <c r="T62" i="7"/>
  <c r="P30" i="7"/>
  <c r="T30" i="7"/>
  <c r="S56" i="7"/>
  <c r="O56" i="7"/>
  <c r="T25" i="7"/>
  <c r="P25" i="7"/>
  <c r="P50" i="7"/>
  <c r="T50" i="7"/>
  <c r="S28" i="7"/>
  <c r="O28" i="7"/>
  <c r="T8" i="7"/>
  <c r="P8" i="7"/>
  <c r="U15" i="7"/>
  <c r="T61" i="7"/>
  <c r="P61" i="7"/>
  <c r="P51" i="7"/>
  <c r="T51" i="7"/>
  <c r="S45" i="7"/>
  <c r="O45" i="7"/>
  <c r="U4" i="7"/>
  <c r="O26" i="7"/>
  <c r="S26" i="7"/>
  <c r="S53" i="7"/>
  <c r="O53" i="7"/>
  <c r="T21" i="7"/>
  <c r="P21" i="7"/>
  <c r="S49" i="7"/>
  <c r="O49" i="7"/>
  <c r="O54" i="7"/>
  <c r="S54" i="7"/>
  <c r="S22" i="7"/>
  <c r="O22" i="7"/>
  <c r="O39" i="7"/>
  <c r="S39" i="7"/>
  <c r="U20" i="7"/>
  <c r="T44" i="7"/>
  <c r="P44" i="7"/>
  <c r="T12" i="7"/>
  <c r="P12" i="7"/>
  <c r="O46" i="7"/>
  <c r="S46" i="7"/>
  <c r="O42" i="7"/>
  <c r="S42" i="7"/>
  <c r="T45" i="7"/>
  <c r="P45" i="7"/>
  <c r="P26" i="7"/>
  <c r="T26" i="7"/>
  <c r="T53" i="7"/>
  <c r="P53" i="7"/>
  <c r="G21" i="6"/>
  <c r="F21" i="6"/>
  <c r="F35" i="6"/>
  <c r="G35" i="6"/>
  <c r="G13" i="6"/>
  <c r="F13" i="6"/>
  <c r="G29" i="6"/>
  <c r="F29" i="6"/>
  <c r="F19" i="6"/>
  <c r="G19" i="6"/>
  <c r="F32" i="6"/>
  <c r="G32" i="6"/>
  <c r="G16" i="6"/>
  <c r="F16" i="6"/>
  <c r="G7" i="6"/>
  <c r="F7" i="6"/>
  <c r="F11" i="6"/>
  <c r="G11" i="6"/>
  <c r="G24" i="6"/>
  <c r="F24" i="6"/>
  <c r="G8" i="6"/>
  <c r="F8" i="6"/>
  <c r="G18" i="6"/>
  <c r="F42" i="6"/>
  <c r="G42" i="6"/>
  <c r="F56" i="6"/>
  <c r="G56" i="6"/>
  <c r="R4" i="6"/>
  <c r="G5" i="6"/>
  <c r="F9" i="6"/>
  <c r="F6" i="6"/>
  <c r="G14" i="6"/>
  <c r="G17" i="6"/>
  <c r="F17" i="6"/>
  <c r="G28" i="6"/>
  <c r="F31" i="6"/>
  <c r="G34" i="6"/>
  <c r="G37" i="6"/>
  <c r="F37" i="6"/>
  <c r="G61" i="6"/>
  <c r="F61" i="6"/>
  <c r="G64" i="6"/>
  <c r="F64" i="6"/>
  <c r="F15" i="6"/>
  <c r="F25" i="6"/>
  <c r="G25" i="6"/>
  <c r="G55" i="6"/>
  <c r="F55" i="6"/>
  <c r="G4" i="6"/>
  <c r="F52" i="6"/>
  <c r="G52" i="6"/>
  <c r="F33" i="6"/>
  <c r="G33" i="6"/>
  <c r="G58" i="6"/>
  <c r="F58" i="6"/>
  <c r="G20" i="6"/>
  <c r="F23" i="6"/>
  <c r="G26" i="6"/>
  <c r="G50" i="6"/>
  <c r="G53" i="6"/>
  <c r="F53" i="6"/>
  <c r="G63" i="6"/>
  <c r="F63" i="6"/>
  <c r="G27" i="6"/>
  <c r="G30" i="6"/>
  <c r="F38" i="6"/>
  <c r="G38" i="6"/>
  <c r="G12" i="6"/>
  <c r="F36" i="6"/>
  <c r="G36" i="6"/>
  <c r="G39" i="6"/>
  <c r="F39" i="6"/>
  <c r="F54" i="6"/>
  <c r="G54" i="6"/>
  <c r="F59" i="6"/>
  <c r="G59" i="6"/>
  <c r="G40" i="6"/>
  <c r="F40" i="6"/>
  <c r="F41" i="6"/>
  <c r="F57" i="6"/>
  <c r="G62" i="6"/>
  <c r="G60" i="6"/>
  <c r="F60" i="6"/>
  <c r="F49" i="6"/>
  <c r="Q28" i="5"/>
  <c r="Q44" i="5"/>
  <c r="O12" i="5"/>
  <c r="G30" i="5"/>
  <c r="F30" i="5"/>
  <c r="F19" i="5"/>
  <c r="G19" i="5"/>
  <c r="F35" i="5"/>
  <c r="G35" i="5"/>
  <c r="F53" i="5"/>
  <c r="G53" i="5"/>
  <c r="F6" i="5"/>
  <c r="G6" i="5"/>
  <c r="G39" i="5"/>
  <c r="F39" i="5"/>
  <c r="F63" i="5"/>
  <c r="G63" i="5"/>
  <c r="O18" i="5"/>
  <c r="Q18" i="5"/>
  <c r="G7" i="5"/>
  <c r="F7" i="5"/>
  <c r="G14" i="5"/>
  <c r="F14" i="5"/>
  <c r="G25" i="5"/>
  <c r="F25" i="5"/>
  <c r="R31" i="5"/>
  <c r="P31" i="5"/>
  <c r="G41" i="5"/>
  <c r="F41" i="5"/>
  <c r="G23" i="5"/>
  <c r="F23" i="5"/>
  <c r="O34" i="5"/>
  <c r="Q34" i="5"/>
  <c r="F13" i="5"/>
  <c r="G13" i="5"/>
  <c r="F8" i="5"/>
  <c r="G8" i="5"/>
  <c r="R15" i="5"/>
  <c r="P15" i="5"/>
  <c r="O26" i="5"/>
  <c r="Q26" i="5"/>
  <c r="R32" i="5"/>
  <c r="F45" i="5"/>
  <c r="G45" i="5"/>
  <c r="F11" i="5"/>
  <c r="G11" i="5"/>
  <c r="Q20" i="5"/>
  <c r="O20" i="5"/>
  <c r="O36" i="5"/>
  <c r="F55" i="5"/>
  <c r="G55" i="5"/>
  <c r="G4" i="5"/>
  <c r="F4" i="5"/>
  <c r="G9" i="5"/>
  <c r="F9" i="5"/>
  <c r="F21" i="5"/>
  <c r="G21" i="5"/>
  <c r="G33" i="5"/>
  <c r="F33" i="5"/>
  <c r="F37" i="5"/>
  <c r="G37" i="5"/>
  <c r="G46" i="5"/>
  <c r="F46" i="5"/>
  <c r="G5" i="5"/>
  <c r="F5" i="5"/>
  <c r="G17" i="5"/>
  <c r="F17" i="5"/>
  <c r="G22" i="5"/>
  <c r="F22" i="5"/>
  <c r="F27" i="5"/>
  <c r="G27" i="5"/>
  <c r="G38" i="5"/>
  <c r="F38" i="5"/>
  <c r="F47" i="5"/>
  <c r="G47" i="5"/>
  <c r="G57" i="5"/>
  <c r="F57" i="5"/>
  <c r="G18" i="5"/>
  <c r="F40" i="5"/>
  <c r="R51" i="5"/>
  <c r="G12" i="5"/>
  <c r="G20" i="5"/>
  <c r="F24" i="5"/>
  <c r="R34" i="5"/>
  <c r="G36" i="5"/>
  <c r="P50" i="5"/>
  <c r="G59" i="5"/>
  <c r="F59" i="5"/>
  <c r="O61" i="5"/>
  <c r="Q61" i="5"/>
  <c r="P28" i="5"/>
  <c r="O43" i="5"/>
  <c r="Q48" i="5"/>
  <c r="F50" i="5"/>
  <c r="P56" i="5"/>
  <c r="R56" i="5"/>
  <c r="G61" i="5"/>
  <c r="R24" i="5"/>
  <c r="F56" i="5"/>
  <c r="G49" i="5"/>
  <c r="F49" i="5"/>
  <c r="P52" i="5"/>
  <c r="R26" i="5"/>
  <c r="R28" i="5"/>
  <c r="G29" i="5"/>
  <c r="F31" i="5"/>
  <c r="F32" i="5"/>
  <c r="F15" i="5"/>
  <c r="F16" i="5"/>
  <c r="G43" i="5"/>
  <c r="R44" i="5"/>
  <c r="P44" i="5"/>
  <c r="F52" i="5"/>
  <c r="P58" i="5"/>
  <c r="P60" i="5"/>
  <c r="R10" i="5"/>
  <c r="F42" i="5"/>
  <c r="P48" i="5"/>
  <c r="R48" i="5"/>
  <c r="Q51" i="5"/>
  <c r="O51" i="5"/>
  <c r="F58" i="5"/>
  <c r="F60" i="5"/>
  <c r="G62" i="5"/>
  <c r="F62" i="5"/>
  <c r="G64" i="5"/>
  <c r="F64" i="5"/>
  <c r="O28" i="5"/>
  <c r="P40" i="5"/>
  <c r="R40" i="5"/>
  <c r="G54" i="5"/>
  <c r="F54" i="5"/>
  <c r="C5" i="4"/>
  <c r="D5" i="4" s="1"/>
  <c r="E5" i="4" s="1"/>
  <c r="C6" i="4"/>
  <c r="C7" i="4"/>
  <c r="C8" i="4"/>
  <c r="C9" i="4"/>
  <c r="D9" i="4" s="1"/>
  <c r="E9" i="4" s="1"/>
  <c r="F9" i="4" s="1"/>
  <c r="C10" i="4"/>
  <c r="C11" i="4"/>
  <c r="C12" i="4"/>
  <c r="D12" i="4" s="1"/>
  <c r="E12" i="4" s="1"/>
  <c r="F12" i="4" s="1"/>
  <c r="O12" i="4" s="1"/>
  <c r="C13" i="4"/>
  <c r="D13" i="4" s="1"/>
  <c r="E13" i="4" s="1"/>
  <c r="C14" i="4"/>
  <c r="C15" i="4"/>
  <c r="C16" i="4"/>
  <c r="C17" i="4"/>
  <c r="D17" i="4" s="1"/>
  <c r="E17" i="4" s="1"/>
  <c r="F17" i="4" s="1"/>
  <c r="K17" i="4" s="1"/>
  <c r="C18" i="4"/>
  <c r="C19" i="4"/>
  <c r="C20" i="4"/>
  <c r="D20" i="4" s="1"/>
  <c r="C21" i="4"/>
  <c r="D21" i="4" s="1"/>
  <c r="E21" i="4" s="1"/>
  <c r="C22" i="4"/>
  <c r="C23" i="4"/>
  <c r="C24" i="4"/>
  <c r="C25" i="4"/>
  <c r="D25" i="4" s="1"/>
  <c r="E25" i="4" s="1"/>
  <c r="F25" i="4" s="1"/>
  <c r="C26" i="4"/>
  <c r="C27" i="4"/>
  <c r="C28" i="4"/>
  <c r="D28" i="4" s="1"/>
  <c r="E28" i="4" s="1"/>
  <c r="F28" i="4" s="1"/>
  <c r="O28" i="4" s="1"/>
  <c r="C29" i="4"/>
  <c r="D29" i="4" s="1"/>
  <c r="C30" i="4"/>
  <c r="C31" i="4"/>
  <c r="C32" i="4"/>
  <c r="C33" i="4"/>
  <c r="D33" i="4" s="1"/>
  <c r="E33" i="4" s="1"/>
  <c r="F33" i="4" s="1"/>
  <c r="C34" i="4"/>
  <c r="C35" i="4"/>
  <c r="C36" i="4"/>
  <c r="D36" i="4" s="1"/>
  <c r="E36" i="4" s="1"/>
  <c r="C37" i="4"/>
  <c r="D37" i="4" s="1"/>
  <c r="C38" i="4"/>
  <c r="C39" i="4"/>
  <c r="C40" i="4"/>
  <c r="C41" i="4"/>
  <c r="D41" i="4" s="1"/>
  <c r="E41" i="4" s="1"/>
  <c r="F41" i="4" s="1"/>
  <c r="O41" i="4" s="1"/>
  <c r="C42" i="4"/>
  <c r="C43" i="4"/>
  <c r="C44" i="4"/>
  <c r="D44" i="4" s="1"/>
  <c r="C45" i="4"/>
  <c r="D45" i="4" s="1"/>
  <c r="C46" i="4"/>
  <c r="C47" i="4"/>
  <c r="C48" i="4"/>
  <c r="C49" i="4"/>
  <c r="D49" i="4" s="1"/>
  <c r="E49" i="4" s="1"/>
  <c r="F49" i="4" s="1"/>
  <c r="O49" i="4" s="1"/>
  <c r="C50" i="4"/>
  <c r="C51" i="4"/>
  <c r="C52" i="4"/>
  <c r="D52" i="4" s="1"/>
  <c r="E52" i="4" s="1"/>
  <c r="C53" i="4"/>
  <c r="D53" i="4" s="1"/>
  <c r="C54" i="4"/>
  <c r="C55" i="4"/>
  <c r="C56" i="4"/>
  <c r="C57" i="4"/>
  <c r="D57" i="4" s="1"/>
  <c r="E57" i="4" s="1"/>
  <c r="F57" i="4" s="1"/>
  <c r="C58" i="4"/>
  <c r="C59" i="4"/>
  <c r="C60" i="4"/>
  <c r="D60" i="4" s="1"/>
  <c r="C61" i="4"/>
  <c r="D61" i="4" s="1"/>
  <c r="C62" i="4"/>
  <c r="C63" i="4"/>
  <c r="C64" i="4"/>
  <c r="C4" i="4"/>
  <c r="D4" i="4" s="1"/>
  <c r="D6" i="4"/>
  <c r="D7" i="4"/>
  <c r="E7" i="4" s="1"/>
  <c r="F7" i="4" s="1"/>
  <c r="D8" i="4"/>
  <c r="E8" i="4" s="1"/>
  <c r="D10" i="4"/>
  <c r="D11" i="4"/>
  <c r="E11" i="4" s="1"/>
  <c r="F11" i="4" s="1"/>
  <c r="D14" i="4"/>
  <c r="D15" i="4"/>
  <c r="E15" i="4" s="1"/>
  <c r="F15" i="4" s="1"/>
  <c r="O15" i="4" s="1"/>
  <c r="D16" i="4"/>
  <c r="D18" i="4"/>
  <c r="E18" i="4" s="1"/>
  <c r="F18" i="4" s="1"/>
  <c r="O18" i="4" s="1"/>
  <c r="D19" i="4"/>
  <c r="E19" i="4" s="1"/>
  <c r="D22" i="4"/>
  <c r="E22" i="4" s="1"/>
  <c r="G22" i="4" s="1"/>
  <c r="D23" i="4"/>
  <c r="D24" i="4"/>
  <c r="E24" i="4" s="1"/>
  <c r="D26" i="4"/>
  <c r="D27" i="4"/>
  <c r="E27" i="4" s="1"/>
  <c r="F27" i="4" s="1"/>
  <c r="D30" i="4"/>
  <c r="D31" i="4"/>
  <c r="E31" i="4" s="1"/>
  <c r="F31" i="4" s="1"/>
  <c r="O31" i="4" s="1"/>
  <c r="D32" i="4"/>
  <c r="D34" i="4"/>
  <c r="D35" i="4"/>
  <c r="E35" i="4" s="1"/>
  <c r="D38" i="4"/>
  <c r="E38" i="4" s="1"/>
  <c r="D39" i="4"/>
  <c r="E39" i="4" s="1"/>
  <c r="F39" i="4" s="1"/>
  <c r="D40" i="4"/>
  <c r="E40" i="4" s="1"/>
  <c r="D42" i="4"/>
  <c r="D43" i="4"/>
  <c r="E43" i="4" s="1"/>
  <c r="F43" i="4" s="1"/>
  <c r="K43" i="4" s="1"/>
  <c r="D46" i="4"/>
  <c r="E46" i="4" s="1"/>
  <c r="D47" i="4"/>
  <c r="E47" i="4" s="1"/>
  <c r="F47" i="4" s="1"/>
  <c r="D48" i="4"/>
  <c r="D50" i="4"/>
  <c r="D51" i="4"/>
  <c r="E51" i="4" s="1"/>
  <c r="D54" i="4"/>
  <c r="E54" i="4" s="1"/>
  <c r="D55" i="4"/>
  <c r="E55" i="4" s="1"/>
  <c r="F55" i="4" s="1"/>
  <c r="O55" i="4" s="1"/>
  <c r="D56" i="4"/>
  <c r="E56" i="4" s="1"/>
  <c r="D58" i="4"/>
  <c r="D59" i="4"/>
  <c r="E59" i="4" s="1"/>
  <c r="F59" i="4" s="1"/>
  <c r="D62" i="4"/>
  <c r="D63" i="4"/>
  <c r="E63" i="4" s="1"/>
  <c r="F63" i="4" s="1"/>
  <c r="D64" i="4"/>
  <c r="E64" i="4" s="1"/>
  <c r="F64" i="4" s="1"/>
  <c r="E42" i="4"/>
  <c r="F42" i="4" s="1"/>
  <c r="K42" i="4" s="1"/>
  <c r="E48" i="4"/>
  <c r="F48" i="4" s="1"/>
  <c r="E6" i="4"/>
  <c r="E14" i="4"/>
  <c r="E16" i="4"/>
  <c r="F16" i="4" s="1"/>
  <c r="E30" i="4"/>
  <c r="E23" i="4"/>
  <c r="F23" i="4" s="1"/>
  <c r="O23" i="4" s="1"/>
  <c r="E10" i="4"/>
  <c r="G10" i="4" s="1"/>
  <c r="E62" i="4"/>
  <c r="E32" i="4"/>
  <c r="F32" i="4" s="1"/>
  <c r="E50" i="4"/>
  <c r="F50" i="4" s="1"/>
  <c r="O50" i="4" s="1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M11" i="3"/>
  <c r="N11" i="3"/>
  <c r="O11" i="3"/>
  <c r="P11" i="3"/>
  <c r="M12" i="3"/>
  <c r="N12" i="3"/>
  <c r="O12" i="3"/>
  <c r="P12" i="3"/>
  <c r="M13" i="3"/>
  <c r="N13" i="3"/>
  <c r="O13" i="3"/>
  <c r="P13" i="3"/>
  <c r="M14" i="3"/>
  <c r="N14" i="3"/>
  <c r="O14" i="3"/>
  <c r="P14" i="3"/>
  <c r="M15" i="3"/>
  <c r="N15" i="3"/>
  <c r="O15" i="3"/>
  <c r="P15" i="3"/>
  <c r="M16" i="3"/>
  <c r="N16" i="3"/>
  <c r="O16" i="3"/>
  <c r="P16" i="3"/>
  <c r="M17" i="3"/>
  <c r="N17" i="3"/>
  <c r="O17" i="3"/>
  <c r="P17" i="3"/>
  <c r="M18" i="3"/>
  <c r="N18" i="3"/>
  <c r="O18" i="3"/>
  <c r="P18" i="3"/>
  <c r="M19" i="3"/>
  <c r="N19" i="3"/>
  <c r="O19" i="3"/>
  <c r="P19" i="3"/>
  <c r="M20" i="3"/>
  <c r="N20" i="3"/>
  <c r="O20" i="3"/>
  <c r="P20" i="3"/>
  <c r="M21" i="3"/>
  <c r="N21" i="3"/>
  <c r="O21" i="3"/>
  <c r="P21" i="3"/>
  <c r="M22" i="3"/>
  <c r="N22" i="3"/>
  <c r="O22" i="3"/>
  <c r="P22" i="3"/>
  <c r="M23" i="3"/>
  <c r="N23" i="3"/>
  <c r="O23" i="3"/>
  <c r="P23" i="3"/>
  <c r="M24" i="3"/>
  <c r="N24" i="3"/>
  <c r="O24" i="3"/>
  <c r="P24" i="3"/>
  <c r="M25" i="3"/>
  <c r="N25" i="3"/>
  <c r="O25" i="3"/>
  <c r="P25" i="3"/>
  <c r="M26" i="3"/>
  <c r="N26" i="3"/>
  <c r="O26" i="3"/>
  <c r="P26" i="3"/>
  <c r="M27" i="3"/>
  <c r="N27" i="3"/>
  <c r="O27" i="3"/>
  <c r="P27" i="3"/>
  <c r="M28" i="3"/>
  <c r="N28" i="3"/>
  <c r="O28" i="3"/>
  <c r="P28" i="3"/>
  <c r="M29" i="3"/>
  <c r="N29" i="3"/>
  <c r="O29" i="3"/>
  <c r="P29" i="3"/>
  <c r="M30" i="3"/>
  <c r="N30" i="3"/>
  <c r="O30" i="3"/>
  <c r="P30" i="3"/>
  <c r="M31" i="3"/>
  <c r="N31" i="3"/>
  <c r="O31" i="3"/>
  <c r="P31" i="3"/>
  <c r="M32" i="3"/>
  <c r="N32" i="3"/>
  <c r="O32" i="3"/>
  <c r="P32" i="3"/>
  <c r="M33" i="3"/>
  <c r="N33" i="3"/>
  <c r="O33" i="3"/>
  <c r="P33" i="3"/>
  <c r="M34" i="3"/>
  <c r="N34" i="3"/>
  <c r="O34" i="3"/>
  <c r="P34" i="3"/>
  <c r="M35" i="3"/>
  <c r="N35" i="3"/>
  <c r="O35" i="3"/>
  <c r="P35" i="3"/>
  <c r="M36" i="3"/>
  <c r="N36" i="3"/>
  <c r="O36" i="3"/>
  <c r="P36" i="3"/>
  <c r="M37" i="3"/>
  <c r="N37" i="3"/>
  <c r="O37" i="3"/>
  <c r="P37" i="3"/>
  <c r="M38" i="3"/>
  <c r="N38" i="3"/>
  <c r="O38" i="3"/>
  <c r="P38" i="3"/>
  <c r="M39" i="3"/>
  <c r="N39" i="3"/>
  <c r="O39" i="3"/>
  <c r="P39" i="3"/>
  <c r="M40" i="3"/>
  <c r="N40" i="3"/>
  <c r="O40" i="3"/>
  <c r="P40" i="3"/>
  <c r="M41" i="3"/>
  <c r="N41" i="3"/>
  <c r="O41" i="3"/>
  <c r="P41" i="3"/>
  <c r="M42" i="3"/>
  <c r="N42" i="3"/>
  <c r="O42" i="3"/>
  <c r="P42" i="3"/>
  <c r="M43" i="3"/>
  <c r="N43" i="3"/>
  <c r="O43" i="3"/>
  <c r="P43" i="3"/>
  <c r="M44" i="3"/>
  <c r="N44" i="3"/>
  <c r="O44" i="3"/>
  <c r="P44" i="3"/>
  <c r="M45" i="3"/>
  <c r="N45" i="3"/>
  <c r="O45" i="3"/>
  <c r="P45" i="3"/>
  <c r="M46" i="3"/>
  <c r="N46" i="3"/>
  <c r="O46" i="3"/>
  <c r="P46" i="3"/>
  <c r="M47" i="3"/>
  <c r="N47" i="3"/>
  <c r="O47" i="3"/>
  <c r="P47" i="3"/>
  <c r="M48" i="3"/>
  <c r="N48" i="3"/>
  <c r="O48" i="3"/>
  <c r="P48" i="3"/>
  <c r="M49" i="3"/>
  <c r="N49" i="3"/>
  <c r="O49" i="3"/>
  <c r="P49" i="3"/>
  <c r="M50" i="3"/>
  <c r="N50" i="3"/>
  <c r="O50" i="3"/>
  <c r="P50" i="3"/>
  <c r="M51" i="3"/>
  <c r="N51" i="3"/>
  <c r="O51" i="3"/>
  <c r="P51" i="3"/>
  <c r="M52" i="3"/>
  <c r="N52" i="3"/>
  <c r="O52" i="3"/>
  <c r="P52" i="3"/>
  <c r="M53" i="3"/>
  <c r="N53" i="3"/>
  <c r="O53" i="3"/>
  <c r="P53" i="3"/>
  <c r="M54" i="3"/>
  <c r="N54" i="3"/>
  <c r="O54" i="3"/>
  <c r="P54" i="3"/>
  <c r="M55" i="3"/>
  <c r="N55" i="3"/>
  <c r="O55" i="3"/>
  <c r="P55" i="3"/>
  <c r="M56" i="3"/>
  <c r="N56" i="3"/>
  <c r="O56" i="3"/>
  <c r="P56" i="3"/>
  <c r="M57" i="3"/>
  <c r="N57" i="3"/>
  <c r="O57" i="3"/>
  <c r="P57" i="3"/>
  <c r="M58" i="3"/>
  <c r="N58" i="3"/>
  <c r="O58" i="3"/>
  <c r="P58" i="3"/>
  <c r="M59" i="3"/>
  <c r="N59" i="3"/>
  <c r="O59" i="3"/>
  <c r="P59" i="3"/>
  <c r="M60" i="3"/>
  <c r="N60" i="3"/>
  <c r="O60" i="3"/>
  <c r="P60" i="3"/>
  <c r="M61" i="3"/>
  <c r="N61" i="3"/>
  <c r="O61" i="3"/>
  <c r="P61" i="3"/>
  <c r="M62" i="3"/>
  <c r="N62" i="3"/>
  <c r="O62" i="3"/>
  <c r="P62" i="3"/>
  <c r="M63" i="3"/>
  <c r="N63" i="3"/>
  <c r="O63" i="3"/>
  <c r="P63" i="3"/>
  <c r="M64" i="3"/>
  <c r="N64" i="3"/>
  <c r="O64" i="3"/>
  <c r="P64" i="3"/>
  <c r="P4" i="3"/>
  <c r="O4" i="3"/>
  <c r="N4" i="3"/>
  <c r="M4" i="3"/>
  <c r="I5" i="3"/>
  <c r="K5" i="3" s="1"/>
  <c r="J5" i="3"/>
  <c r="L5" i="3" s="1"/>
  <c r="I6" i="3"/>
  <c r="K6" i="3" s="1"/>
  <c r="J6" i="3"/>
  <c r="L6" i="3" s="1"/>
  <c r="I7" i="3"/>
  <c r="K7" i="3" s="1"/>
  <c r="J7" i="3"/>
  <c r="L7" i="3" s="1"/>
  <c r="I8" i="3"/>
  <c r="K8" i="3" s="1"/>
  <c r="J8" i="3"/>
  <c r="L8" i="3" s="1"/>
  <c r="I9" i="3"/>
  <c r="K9" i="3" s="1"/>
  <c r="J9" i="3"/>
  <c r="L9" i="3" s="1"/>
  <c r="I10" i="3"/>
  <c r="K10" i="3" s="1"/>
  <c r="J10" i="3"/>
  <c r="L10" i="3" s="1"/>
  <c r="I11" i="3"/>
  <c r="K11" i="3" s="1"/>
  <c r="J11" i="3"/>
  <c r="L11" i="3" s="1"/>
  <c r="I12" i="3"/>
  <c r="K12" i="3" s="1"/>
  <c r="J12" i="3"/>
  <c r="L12" i="3" s="1"/>
  <c r="I13" i="3"/>
  <c r="K13" i="3" s="1"/>
  <c r="J13" i="3"/>
  <c r="L13" i="3" s="1"/>
  <c r="I14" i="3"/>
  <c r="K14" i="3" s="1"/>
  <c r="J14" i="3"/>
  <c r="L14" i="3" s="1"/>
  <c r="I15" i="3"/>
  <c r="K15" i="3" s="1"/>
  <c r="J15" i="3"/>
  <c r="L15" i="3" s="1"/>
  <c r="I16" i="3"/>
  <c r="K16" i="3" s="1"/>
  <c r="J16" i="3"/>
  <c r="L16" i="3" s="1"/>
  <c r="I17" i="3"/>
  <c r="K17" i="3" s="1"/>
  <c r="J17" i="3"/>
  <c r="L17" i="3" s="1"/>
  <c r="I18" i="3"/>
  <c r="K18" i="3" s="1"/>
  <c r="J18" i="3"/>
  <c r="L18" i="3" s="1"/>
  <c r="I19" i="3"/>
  <c r="K19" i="3" s="1"/>
  <c r="J19" i="3"/>
  <c r="L19" i="3" s="1"/>
  <c r="I20" i="3"/>
  <c r="K20" i="3" s="1"/>
  <c r="J20" i="3"/>
  <c r="L20" i="3" s="1"/>
  <c r="I21" i="3"/>
  <c r="K21" i="3" s="1"/>
  <c r="J21" i="3"/>
  <c r="L21" i="3" s="1"/>
  <c r="I22" i="3"/>
  <c r="K22" i="3" s="1"/>
  <c r="J22" i="3"/>
  <c r="L22" i="3" s="1"/>
  <c r="I23" i="3"/>
  <c r="K23" i="3" s="1"/>
  <c r="J23" i="3"/>
  <c r="L23" i="3" s="1"/>
  <c r="I24" i="3"/>
  <c r="K24" i="3" s="1"/>
  <c r="J24" i="3"/>
  <c r="L24" i="3" s="1"/>
  <c r="I25" i="3"/>
  <c r="K25" i="3" s="1"/>
  <c r="J25" i="3"/>
  <c r="L25" i="3" s="1"/>
  <c r="I26" i="3"/>
  <c r="K26" i="3" s="1"/>
  <c r="J26" i="3"/>
  <c r="L26" i="3" s="1"/>
  <c r="I27" i="3"/>
  <c r="K27" i="3" s="1"/>
  <c r="J27" i="3"/>
  <c r="L27" i="3" s="1"/>
  <c r="I28" i="3"/>
  <c r="K28" i="3" s="1"/>
  <c r="J28" i="3"/>
  <c r="L28" i="3" s="1"/>
  <c r="I29" i="3"/>
  <c r="K29" i="3" s="1"/>
  <c r="J29" i="3"/>
  <c r="L29" i="3" s="1"/>
  <c r="I30" i="3"/>
  <c r="K30" i="3" s="1"/>
  <c r="J30" i="3"/>
  <c r="L30" i="3" s="1"/>
  <c r="I31" i="3"/>
  <c r="K31" i="3" s="1"/>
  <c r="J31" i="3"/>
  <c r="L31" i="3" s="1"/>
  <c r="I32" i="3"/>
  <c r="K32" i="3" s="1"/>
  <c r="J32" i="3"/>
  <c r="L32" i="3" s="1"/>
  <c r="I33" i="3"/>
  <c r="K33" i="3" s="1"/>
  <c r="J33" i="3"/>
  <c r="L33" i="3" s="1"/>
  <c r="I34" i="3"/>
  <c r="K34" i="3" s="1"/>
  <c r="J34" i="3"/>
  <c r="L34" i="3" s="1"/>
  <c r="I35" i="3"/>
  <c r="K35" i="3" s="1"/>
  <c r="J35" i="3"/>
  <c r="L35" i="3" s="1"/>
  <c r="I36" i="3"/>
  <c r="K36" i="3" s="1"/>
  <c r="J36" i="3"/>
  <c r="L36" i="3" s="1"/>
  <c r="I37" i="3"/>
  <c r="K37" i="3" s="1"/>
  <c r="J37" i="3"/>
  <c r="L37" i="3" s="1"/>
  <c r="I38" i="3"/>
  <c r="K38" i="3" s="1"/>
  <c r="J38" i="3"/>
  <c r="L38" i="3" s="1"/>
  <c r="I39" i="3"/>
  <c r="K39" i="3" s="1"/>
  <c r="J39" i="3"/>
  <c r="L39" i="3" s="1"/>
  <c r="I40" i="3"/>
  <c r="K40" i="3" s="1"/>
  <c r="J40" i="3"/>
  <c r="L40" i="3" s="1"/>
  <c r="I41" i="3"/>
  <c r="K41" i="3" s="1"/>
  <c r="J41" i="3"/>
  <c r="L41" i="3" s="1"/>
  <c r="I42" i="3"/>
  <c r="K42" i="3" s="1"/>
  <c r="J42" i="3"/>
  <c r="L42" i="3" s="1"/>
  <c r="I43" i="3"/>
  <c r="K43" i="3" s="1"/>
  <c r="J43" i="3"/>
  <c r="L43" i="3" s="1"/>
  <c r="I44" i="3"/>
  <c r="K44" i="3" s="1"/>
  <c r="J44" i="3"/>
  <c r="L44" i="3" s="1"/>
  <c r="I45" i="3"/>
  <c r="K45" i="3" s="1"/>
  <c r="J45" i="3"/>
  <c r="L45" i="3" s="1"/>
  <c r="I46" i="3"/>
  <c r="K46" i="3" s="1"/>
  <c r="J46" i="3"/>
  <c r="L46" i="3" s="1"/>
  <c r="I47" i="3"/>
  <c r="K47" i="3" s="1"/>
  <c r="J47" i="3"/>
  <c r="L47" i="3" s="1"/>
  <c r="I48" i="3"/>
  <c r="K48" i="3" s="1"/>
  <c r="J48" i="3"/>
  <c r="L48" i="3" s="1"/>
  <c r="I49" i="3"/>
  <c r="K49" i="3" s="1"/>
  <c r="J49" i="3"/>
  <c r="L49" i="3" s="1"/>
  <c r="I50" i="3"/>
  <c r="K50" i="3" s="1"/>
  <c r="J50" i="3"/>
  <c r="L50" i="3" s="1"/>
  <c r="I51" i="3"/>
  <c r="K51" i="3" s="1"/>
  <c r="J51" i="3"/>
  <c r="L51" i="3" s="1"/>
  <c r="I52" i="3"/>
  <c r="K52" i="3" s="1"/>
  <c r="J52" i="3"/>
  <c r="L52" i="3" s="1"/>
  <c r="I53" i="3"/>
  <c r="K53" i="3" s="1"/>
  <c r="J53" i="3"/>
  <c r="L53" i="3" s="1"/>
  <c r="I54" i="3"/>
  <c r="K54" i="3" s="1"/>
  <c r="J54" i="3"/>
  <c r="L54" i="3" s="1"/>
  <c r="I55" i="3"/>
  <c r="K55" i="3" s="1"/>
  <c r="J55" i="3"/>
  <c r="L55" i="3" s="1"/>
  <c r="I56" i="3"/>
  <c r="K56" i="3" s="1"/>
  <c r="J56" i="3"/>
  <c r="L56" i="3" s="1"/>
  <c r="I57" i="3"/>
  <c r="K57" i="3" s="1"/>
  <c r="J57" i="3"/>
  <c r="L57" i="3" s="1"/>
  <c r="I58" i="3"/>
  <c r="K58" i="3" s="1"/>
  <c r="J58" i="3"/>
  <c r="L58" i="3" s="1"/>
  <c r="I59" i="3"/>
  <c r="K59" i="3" s="1"/>
  <c r="J59" i="3"/>
  <c r="L59" i="3" s="1"/>
  <c r="I60" i="3"/>
  <c r="K60" i="3" s="1"/>
  <c r="J60" i="3"/>
  <c r="L60" i="3" s="1"/>
  <c r="I61" i="3"/>
  <c r="K61" i="3" s="1"/>
  <c r="J61" i="3"/>
  <c r="L61" i="3" s="1"/>
  <c r="I62" i="3"/>
  <c r="K62" i="3" s="1"/>
  <c r="J62" i="3"/>
  <c r="L62" i="3" s="1"/>
  <c r="I63" i="3"/>
  <c r="K63" i="3" s="1"/>
  <c r="J63" i="3"/>
  <c r="L63" i="3" s="1"/>
  <c r="I64" i="3"/>
  <c r="K64" i="3" s="1"/>
  <c r="J64" i="3"/>
  <c r="L64" i="3" s="1"/>
  <c r="K4" i="3"/>
  <c r="L4" i="3"/>
  <c r="J4" i="3"/>
  <c r="I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E4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4" i="3"/>
  <c r="Q46" i="7" l="1"/>
  <c r="U46" i="7" s="1"/>
  <c r="R51" i="7"/>
  <c r="V51" i="7" s="1"/>
  <c r="R28" i="7"/>
  <c r="V28" i="7" s="1"/>
  <c r="R45" i="7"/>
  <c r="V45" i="7" s="1"/>
  <c r="R44" i="7"/>
  <c r="V44" i="7" s="1"/>
  <c r="Q54" i="7"/>
  <c r="U54" i="7" s="1"/>
  <c r="Q26" i="7"/>
  <c r="U26" i="7" s="1"/>
  <c r="R27" i="7"/>
  <c r="V27" i="7" s="1"/>
  <c r="Q50" i="7"/>
  <c r="U50" i="7" s="1"/>
  <c r="Q62" i="7"/>
  <c r="U62" i="7" s="1"/>
  <c r="Q14" i="7"/>
  <c r="U14" i="7" s="1"/>
  <c r="Q10" i="7"/>
  <c r="U10" i="7" s="1"/>
  <c r="Q17" i="7"/>
  <c r="U17" i="7" s="1"/>
  <c r="Q60" i="7"/>
  <c r="U60" i="7" s="1"/>
  <c r="R17" i="7"/>
  <c r="V17" i="7" s="1"/>
  <c r="Q21" i="7"/>
  <c r="U21" i="7" s="1"/>
  <c r="Q49" i="7"/>
  <c r="U49" i="7" s="1"/>
  <c r="R8" i="7"/>
  <c r="V8" i="7" s="1"/>
  <c r="Q56" i="7"/>
  <c r="U56" i="7" s="1"/>
  <c r="R5" i="7"/>
  <c r="V5" i="7" s="1"/>
  <c r="R34" i="7"/>
  <c r="V34" i="7" s="1"/>
  <c r="R29" i="7"/>
  <c r="V29" i="7" s="1"/>
  <c r="Q25" i="7"/>
  <c r="U25" i="7" s="1"/>
  <c r="R32" i="7"/>
  <c r="V32" i="7" s="1"/>
  <c r="R20" i="7"/>
  <c r="V20" i="7" s="1"/>
  <c r="Q27" i="7"/>
  <c r="U27" i="7" s="1"/>
  <c r="R55" i="7"/>
  <c r="V55" i="7" s="1"/>
  <c r="Q35" i="7"/>
  <c r="U35" i="7" s="1"/>
  <c r="R46" i="7"/>
  <c r="V46" i="7" s="1"/>
  <c r="R22" i="7"/>
  <c r="V22" i="7" s="1"/>
  <c r="Q45" i="7"/>
  <c r="U45" i="7" s="1"/>
  <c r="R38" i="7"/>
  <c r="V38" i="7" s="1"/>
  <c r="R9" i="7"/>
  <c r="V9" i="7" s="1"/>
  <c r="Q55" i="7"/>
  <c r="U55" i="7" s="1"/>
  <c r="R58" i="7"/>
  <c r="V58" i="7" s="1"/>
  <c r="Q57" i="7"/>
  <c r="U57" i="7" s="1"/>
  <c r="Q42" i="7"/>
  <c r="U42" i="7" s="1"/>
  <c r="R21" i="7"/>
  <c r="V21" i="7" s="1"/>
  <c r="Q28" i="7"/>
  <c r="U28" i="7" s="1"/>
  <c r="R48" i="7"/>
  <c r="V48" i="7" s="1"/>
  <c r="Q37" i="7"/>
  <c r="U37" i="7" s="1"/>
  <c r="Q48" i="7"/>
  <c r="U48" i="7" s="1"/>
  <c r="R56" i="7"/>
  <c r="V56" i="7" s="1"/>
  <c r="Q52" i="7"/>
  <c r="U52" i="7" s="1"/>
  <c r="Q29" i="7"/>
  <c r="U29" i="7" s="1"/>
  <c r="Q13" i="7"/>
  <c r="U13" i="7" s="1"/>
  <c r="Q31" i="7"/>
  <c r="U31" i="7" s="1"/>
  <c r="Q38" i="7"/>
  <c r="U38" i="7" s="1"/>
  <c r="Q36" i="7"/>
  <c r="U36" i="7" s="1"/>
  <c r="Q24" i="7"/>
  <c r="U24" i="7" s="1"/>
  <c r="Q47" i="7"/>
  <c r="U47" i="7" s="1"/>
  <c r="Q58" i="7"/>
  <c r="U58" i="7" s="1"/>
  <c r="R54" i="7"/>
  <c r="V54" i="7" s="1"/>
  <c r="Q9" i="7"/>
  <c r="U9" i="7" s="1"/>
  <c r="R35" i="7"/>
  <c r="V35" i="7" s="1"/>
  <c r="R13" i="7"/>
  <c r="V13" i="7" s="1"/>
  <c r="R47" i="7"/>
  <c r="V47" i="7" s="1"/>
  <c r="Q23" i="7"/>
  <c r="U23" i="7" s="1"/>
  <c r="R53" i="7"/>
  <c r="V53" i="7" s="1"/>
  <c r="Q39" i="7"/>
  <c r="U39" i="7" s="1"/>
  <c r="R30" i="7"/>
  <c r="V30" i="7" s="1"/>
  <c r="Q34" i="7"/>
  <c r="U34" i="7" s="1"/>
  <c r="R63" i="7"/>
  <c r="V63" i="7" s="1"/>
  <c r="R37" i="7"/>
  <c r="V37" i="7" s="1"/>
  <c r="R52" i="7"/>
  <c r="V52" i="7" s="1"/>
  <c r="R64" i="7"/>
  <c r="V64" i="7" s="1"/>
  <c r="R15" i="7"/>
  <c r="V15" i="7" s="1"/>
  <c r="R36" i="7"/>
  <c r="V36" i="7" s="1"/>
  <c r="R16" i="7"/>
  <c r="V16" i="7" s="1"/>
  <c r="R24" i="7"/>
  <c r="V24" i="7" s="1"/>
  <c r="Q44" i="7"/>
  <c r="U44" i="7" s="1"/>
  <c r="R60" i="7"/>
  <c r="V60" i="7" s="1"/>
  <c r="Q53" i="7"/>
  <c r="U53" i="7" s="1"/>
  <c r="Q7" i="7"/>
  <c r="U7" i="7" s="1"/>
  <c r="R12" i="7"/>
  <c r="V12" i="7" s="1"/>
  <c r="R61" i="7"/>
  <c r="V61" i="7" s="1"/>
  <c r="R50" i="7"/>
  <c r="V50" i="7" s="1"/>
  <c r="R62" i="7"/>
  <c r="V62" i="7" s="1"/>
  <c r="Q63" i="7"/>
  <c r="U63" i="7" s="1"/>
  <c r="R31" i="7"/>
  <c r="V31" i="7" s="1"/>
  <c r="Q51" i="7"/>
  <c r="U51" i="7" s="1"/>
  <c r="Q30" i="7"/>
  <c r="U30" i="7" s="1"/>
  <c r="R43" i="7"/>
  <c r="V43" i="7" s="1"/>
  <c r="Q19" i="7"/>
  <c r="U19" i="7" s="1"/>
  <c r="Q33" i="7"/>
  <c r="U33" i="7" s="1"/>
  <c r="R40" i="7"/>
  <c r="V40" i="7" s="1"/>
  <c r="Q6" i="7"/>
  <c r="U6" i="7" s="1"/>
  <c r="R59" i="7"/>
  <c r="V59" i="7" s="1"/>
  <c r="R6" i="7"/>
  <c r="V6" i="7" s="1"/>
  <c r="Q41" i="7"/>
  <c r="U41" i="7" s="1"/>
  <c r="R49" i="7"/>
  <c r="V49" i="7" s="1"/>
  <c r="Q22" i="7"/>
  <c r="U22" i="7" s="1"/>
  <c r="Q40" i="7"/>
  <c r="U40" i="7" s="1"/>
  <c r="Q43" i="7"/>
  <c r="U43" i="7" s="1"/>
  <c r="R26" i="7"/>
  <c r="V26" i="7" s="1"/>
  <c r="R25" i="7"/>
  <c r="V25" i="7" s="1"/>
  <c r="Q32" i="7"/>
  <c r="U32" i="7" s="1"/>
  <c r="R33" i="7"/>
  <c r="V33" i="7" s="1"/>
  <c r="Q5" i="7"/>
  <c r="U5" i="7" s="1"/>
  <c r="Q61" i="7"/>
  <c r="U61" i="7" s="1"/>
  <c r="Q64" i="7"/>
  <c r="U64" i="7" s="1"/>
  <c r="R41" i="7"/>
  <c r="V41" i="7" s="1"/>
  <c r="R57" i="7"/>
  <c r="V57" i="7" s="1"/>
  <c r="Q59" i="7"/>
  <c r="U59" i="7" s="1"/>
  <c r="R42" i="7"/>
  <c r="V42" i="7" s="1"/>
  <c r="R39" i="7"/>
  <c r="V39" i="7" s="1"/>
  <c r="V4" i="7"/>
  <c r="R4" i="7"/>
  <c r="S4" i="6"/>
  <c r="R12" i="5"/>
  <c r="P12" i="5"/>
  <c r="P17" i="5"/>
  <c r="R17" i="5"/>
  <c r="O45" i="5"/>
  <c r="Q45" i="5"/>
  <c r="Q12" i="5"/>
  <c r="O58" i="5"/>
  <c r="Q58" i="5"/>
  <c r="O16" i="5"/>
  <c r="Q16" i="5"/>
  <c r="P59" i="5"/>
  <c r="R59" i="5"/>
  <c r="O5" i="5"/>
  <c r="Q5" i="5"/>
  <c r="O53" i="5"/>
  <c r="Q53" i="5"/>
  <c r="R16" i="5"/>
  <c r="R60" i="5"/>
  <c r="O15" i="5"/>
  <c r="Q15" i="5"/>
  <c r="Q49" i="5"/>
  <c r="O49" i="5"/>
  <c r="O50" i="5"/>
  <c r="Q50" i="5"/>
  <c r="R50" i="5"/>
  <c r="R42" i="5"/>
  <c r="R38" i="5"/>
  <c r="P38" i="5"/>
  <c r="P5" i="5"/>
  <c r="R5" i="5"/>
  <c r="O21" i="5"/>
  <c r="Q21" i="5"/>
  <c r="Q36" i="5"/>
  <c r="Q25" i="5"/>
  <c r="O25" i="5"/>
  <c r="R63" i="5"/>
  <c r="P63" i="5"/>
  <c r="P35" i="5"/>
  <c r="R35" i="5"/>
  <c r="P33" i="5"/>
  <c r="R33" i="5"/>
  <c r="R58" i="5"/>
  <c r="O32" i="5"/>
  <c r="Q32" i="5"/>
  <c r="P49" i="5"/>
  <c r="R49" i="5"/>
  <c r="O40" i="5"/>
  <c r="Q40" i="5"/>
  <c r="P27" i="5"/>
  <c r="R27" i="5"/>
  <c r="O46" i="5"/>
  <c r="Q46" i="5"/>
  <c r="Q9" i="5"/>
  <c r="O9" i="5"/>
  <c r="P25" i="5"/>
  <c r="R25" i="5"/>
  <c r="O63" i="5"/>
  <c r="Q63" i="5"/>
  <c r="Q35" i="5"/>
  <c r="O35" i="5"/>
  <c r="P43" i="5"/>
  <c r="R43" i="5"/>
  <c r="Q59" i="5"/>
  <c r="O59" i="5"/>
  <c r="O47" i="5"/>
  <c r="Q47" i="5"/>
  <c r="O55" i="5"/>
  <c r="Q55" i="5"/>
  <c r="P13" i="5"/>
  <c r="R13" i="5"/>
  <c r="P53" i="5"/>
  <c r="R53" i="5"/>
  <c r="R52" i="5"/>
  <c r="O38" i="5"/>
  <c r="Q38" i="5"/>
  <c r="P21" i="5"/>
  <c r="R21" i="5"/>
  <c r="O13" i="5"/>
  <c r="Q13" i="5"/>
  <c r="O64" i="5"/>
  <c r="Q64" i="5"/>
  <c r="O31" i="5"/>
  <c r="Q31" i="5"/>
  <c r="Q43" i="5"/>
  <c r="R36" i="5"/>
  <c r="P36" i="5"/>
  <c r="P18" i="5"/>
  <c r="R18" i="5"/>
  <c r="Q27" i="5"/>
  <c r="O27" i="5"/>
  <c r="R46" i="5"/>
  <c r="P46" i="5"/>
  <c r="P9" i="5"/>
  <c r="R9" i="5"/>
  <c r="O23" i="5"/>
  <c r="Q23" i="5"/>
  <c r="Q14" i="5"/>
  <c r="O14" i="5"/>
  <c r="O39" i="5"/>
  <c r="Q39" i="5"/>
  <c r="P19" i="5"/>
  <c r="R19" i="5"/>
  <c r="P64" i="5"/>
  <c r="R64" i="5"/>
  <c r="P29" i="5"/>
  <c r="R29" i="5"/>
  <c r="O56" i="5"/>
  <c r="Q56" i="5"/>
  <c r="Q57" i="5"/>
  <c r="O57" i="5"/>
  <c r="O22" i="5"/>
  <c r="Q22" i="5"/>
  <c r="P37" i="5"/>
  <c r="R37" i="5"/>
  <c r="Q4" i="5"/>
  <c r="O4" i="5"/>
  <c r="R11" i="5"/>
  <c r="P11" i="5"/>
  <c r="R23" i="5"/>
  <c r="P23" i="5"/>
  <c r="R14" i="5"/>
  <c r="P14" i="5"/>
  <c r="R39" i="5"/>
  <c r="P39" i="5"/>
  <c r="Q19" i="5"/>
  <c r="O19" i="5"/>
  <c r="Q52" i="5"/>
  <c r="O52" i="5"/>
  <c r="O54" i="5"/>
  <c r="Q54" i="5"/>
  <c r="Q62" i="5"/>
  <c r="O62" i="5"/>
  <c r="Q42" i="5"/>
  <c r="O42" i="5"/>
  <c r="O24" i="5"/>
  <c r="Q24" i="5"/>
  <c r="P57" i="5"/>
  <c r="R57" i="5"/>
  <c r="R22" i="5"/>
  <c r="P22" i="5"/>
  <c r="O37" i="5"/>
  <c r="Q37" i="5"/>
  <c r="R4" i="5"/>
  <c r="P4" i="5"/>
  <c r="Q11" i="5"/>
  <c r="O11" i="5"/>
  <c r="P8" i="5"/>
  <c r="R8" i="5"/>
  <c r="Q41" i="5"/>
  <c r="O41" i="5"/>
  <c r="Q7" i="5"/>
  <c r="O7" i="5"/>
  <c r="P6" i="5"/>
  <c r="R6" i="5"/>
  <c r="Q30" i="5"/>
  <c r="O30" i="5"/>
  <c r="R54" i="5"/>
  <c r="P54" i="5"/>
  <c r="R62" i="5"/>
  <c r="P62" i="5"/>
  <c r="Q29" i="5"/>
  <c r="P61" i="5"/>
  <c r="R61" i="5"/>
  <c r="R20" i="5"/>
  <c r="P20" i="5"/>
  <c r="R47" i="5"/>
  <c r="P47" i="5"/>
  <c r="Q17" i="5"/>
  <c r="O17" i="5"/>
  <c r="Q33" i="5"/>
  <c r="O33" i="5"/>
  <c r="R55" i="5"/>
  <c r="P55" i="5"/>
  <c r="P45" i="5"/>
  <c r="R45" i="5"/>
  <c r="O8" i="5"/>
  <c r="Q8" i="5"/>
  <c r="P41" i="5"/>
  <c r="R41" i="5"/>
  <c r="P7" i="5"/>
  <c r="R7" i="5"/>
  <c r="Q6" i="5"/>
  <c r="O6" i="5"/>
  <c r="R30" i="5"/>
  <c r="P30" i="5"/>
  <c r="Q60" i="5"/>
  <c r="O60" i="5"/>
  <c r="E61" i="4"/>
  <c r="F61" i="4" s="1"/>
  <c r="K61" i="4" s="1"/>
  <c r="E53" i="4"/>
  <c r="E45" i="4"/>
  <c r="E37" i="4"/>
  <c r="F37" i="4" s="1"/>
  <c r="K37" i="4" s="1"/>
  <c r="E29" i="4"/>
  <c r="G29" i="4" s="1"/>
  <c r="P29" i="4" s="1"/>
  <c r="E60" i="4"/>
  <c r="F60" i="4" s="1"/>
  <c r="O60" i="4" s="1"/>
  <c r="E44" i="4"/>
  <c r="F44" i="4" s="1"/>
  <c r="O44" i="4" s="1"/>
  <c r="E20" i="4"/>
  <c r="G20" i="4" s="1"/>
  <c r="P20" i="4" s="1"/>
  <c r="E58" i="4"/>
  <c r="F58" i="4" s="1"/>
  <c r="O58" i="4" s="1"/>
  <c r="E34" i="4"/>
  <c r="E26" i="4"/>
  <c r="E4" i="4"/>
  <c r="F4" i="4" s="1"/>
  <c r="K4" i="4" s="1"/>
  <c r="F10" i="4"/>
  <c r="G30" i="4"/>
  <c r="F30" i="4"/>
  <c r="F34" i="4"/>
  <c r="O34" i="4" s="1"/>
  <c r="G34" i="4"/>
  <c r="F26" i="4"/>
  <c r="O26" i="4" s="1"/>
  <c r="G26" i="4"/>
  <c r="G14" i="4"/>
  <c r="F14" i="4"/>
  <c r="G50" i="4"/>
  <c r="P50" i="4" s="1"/>
  <c r="G49" i="4"/>
  <c r="L49" i="4" s="1"/>
  <c r="N49" i="4" s="1"/>
  <c r="R49" i="4" s="1"/>
  <c r="G42" i="4"/>
  <c r="G18" i="4"/>
  <c r="P18" i="4" s="1"/>
  <c r="G17" i="4"/>
  <c r="P17" i="4" s="1"/>
  <c r="G33" i="4"/>
  <c r="P33" i="4" s="1"/>
  <c r="F19" i="4"/>
  <c r="G19" i="4"/>
  <c r="L19" i="4" s="1"/>
  <c r="G54" i="4"/>
  <c r="P54" i="4" s="1"/>
  <c r="F54" i="4"/>
  <c r="O9" i="4"/>
  <c r="K9" i="4"/>
  <c r="G62" i="4"/>
  <c r="F62" i="4"/>
  <c r="F21" i="4"/>
  <c r="O21" i="4" s="1"/>
  <c r="G21" i="4"/>
  <c r="P21" i="4" s="1"/>
  <c r="K57" i="4"/>
  <c r="O57" i="4"/>
  <c r="F52" i="4"/>
  <c r="O52" i="4" s="1"/>
  <c r="G52" i="4"/>
  <c r="F35" i="4"/>
  <c r="G35" i="4"/>
  <c r="L35" i="4" s="1"/>
  <c r="K39" i="4"/>
  <c r="O39" i="4"/>
  <c r="F13" i="4"/>
  <c r="O13" i="4" s="1"/>
  <c r="G13" i="4"/>
  <c r="G38" i="4"/>
  <c r="F38" i="4"/>
  <c r="F51" i="4"/>
  <c r="G51" i="4"/>
  <c r="L51" i="4" s="1"/>
  <c r="F40" i="4"/>
  <c r="O40" i="4" s="1"/>
  <c r="G40" i="4"/>
  <c r="F24" i="4"/>
  <c r="G24" i="4"/>
  <c r="L24" i="4" s="1"/>
  <c r="G46" i="4"/>
  <c r="F46" i="4"/>
  <c r="F45" i="4"/>
  <c r="O45" i="4" s="1"/>
  <c r="G45" i="4"/>
  <c r="P45" i="4" s="1"/>
  <c r="F36" i="4"/>
  <c r="O36" i="4" s="1"/>
  <c r="G36" i="4"/>
  <c r="P36" i="4" s="1"/>
  <c r="G6" i="4"/>
  <c r="F6" i="4"/>
  <c r="F56" i="4"/>
  <c r="G56" i="4"/>
  <c r="L56" i="4" s="1"/>
  <c r="F8" i="4"/>
  <c r="O8" i="4" s="1"/>
  <c r="G8" i="4"/>
  <c r="L8" i="4" s="1"/>
  <c r="F53" i="4"/>
  <c r="G53" i="4"/>
  <c r="P53" i="4" s="1"/>
  <c r="F5" i="4"/>
  <c r="G5" i="4"/>
  <c r="P5" i="4" s="1"/>
  <c r="G57" i="4"/>
  <c r="P57" i="4" s="1"/>
  <c r="G41" i="4"/>
  <c r="G25" i="4"/>
  <c r="P25" i="4" s="1"/>
  <c r="G9" i="4"/>
  <c r="P9" i="4" s="1"/>
  <c r="O42" i="4"/>
  <c r="G64" i="4"/>
  <c r="L64" i="4" s="1"/>
  <c r="N64" i="4" s="1"/>
  <c r="R64" i="4" s="1"/>
  <c r="G48" i="4"/>
  <c r="P48" i="4" s="1"/>
  <c r="G32" i="4"/>
  <c r="L32" i="4" s="1"/>
  <c r="N32" i="4" s="1"/>
  <c r="R32" i="4" s="1"/>
  <c r="G28" i="4"/>
  <c r="L28" i="4" s="1"/>
  <c r="N28" i="4" s="1"/>
  <c r="R28" i="4" s="1"/>
  <c r="G16" i="4"/>
  <c r="L16" i="4" s="1"/>
  <c r="G12" i="4"/>
  <c r="P12" i="4" s="1"/>
  <c r="G63" i="4"/>
  <c r="P63" i="4" s="1"/>
  <c r="G59" i="4"/>
  <c r="G55" i="4"/>
  <c r="L55" i="4" s="1"/>
  <c r="N55" i="4" s="1"/>
  <c r="R55" i="4" s="1"/>
  <c r="G47" i="4"/>
  <c r="P47" i="4" s="1"/>
  <c r="G43" i="4"/>
  <c r="L43" i="4" s="1"/>
  <c r="N43" i="4" s="1"/>
  <c r="R43" i="4" s="1"/>
  <c r="G39" i="4"/>
  <c r="L39" i="4" s="1"/>
  <c r="N39" i="4" s="1"/>
  <c r="R39" i="4" s="1"/>
  <c r="G31" i="4"/>
  <c r="P31" i="4" s="1"/>
  <c r="G27" i="4"/>
  <c r="L27" i="4" s="1"/>
  <c r="N27" i="4" s="1"/>
  <c r="R27" i="4" s="1"/>
  <c r="G23" i="4"/>
  <c r="P23" i="4" s="1"/>
  <c r="G15" i="4"/>
  <c r="P15" i="4" s="1"/>
  <c r="G11" i="4"/>
  <c r="L11" i="4" s="1"/>
  <c r="G7" i="4"/>
  <c r="P7" i="4" s="1"/>
  <c r="F22" i="4"/>
  <c r="G4" i="4"/>
  <c r="P4" i="4" s="1"/>
  <c r="K49" i="4"/>
  <c r="K41" i="4"/>
  <c r="K55" i="4"/>
  <c r="K33" i="4"/>
  <c r="O33" i="4"/>
  <c r="O47" i="4"/>
  <c r="K47" i="4"/>
  <c r="O7" i="4"/>
  <c r="K7" i="4"/>
  <c r="K19" i="4"/>
  <c r="K12" i="4"/>
  <c r="K28" i="4"/>
  <c r="K44" i="4"/>
  <c r="K50" i="4"/>
  <c r="P10" i="4"/>
  <c r="L10" i="4"/>
  <c r="O17" i="4"/>
  <c r="K18" i="4"/>
  <c r="K15" i="4"/>
  <c r="K31" i="4"/>
  <c r="K32" i="4"/>
  <c r="K23" i="4"/>
  <c r="M23" i="4" s="1"/>
  <c r="Q23" i="4" s="1"/>
  <c r="O43" i="4"/>
  <c r="G5" i="2"/>
  <c r="G6" i="2"/>
  <c r="G7" i="2"/>
  <c r="G8" i="2"/>
  <c r="G9" i="2"/>
  <c r="H9" i="2" s="1"/>
  <c r="L9" i="2" s="1"/>
  <c r="G10" i="2"/>
  <c r="G11" i="2"/>
  <c r="H11" i="2" s="1"/>
  <c r="L11" i="2" s="1"/>
  <c r="G12" i="2"/>
  <c r="H12" i="2" s="1"/>
  <c r="L12" i="2" s="1"/>
  <c r="G13" i="2"/>
  <c r="G14" i="2"/>
  <c r="G15" i="2"/>
  <c r="G16" i="2"/>
  <c r="G17" i="2"/>
  <c r="H17" i="2" s="1"/>
  <c r="L17" i="2" s="1"/>
  <c r="G18" i="2"/>
  <c r="H18" i="2" s="1"/>
  <c r="L18" i="2" s="1"/>
  <c r="G19" i="2"/>
  <c r="G20" i="2"/>
  <c r="H20" i="2" s="1"/>
  <c r="L20" i="2" s="1"/>
  <c r="G21" i="2"/>
  <c r="G22" i="2"/>
  <c r="G23" i="2"/>
  <c r="G24" i="2"/>
  <c r="H24" i="2" s="1"/>
  <c r="L24" i="2" s="1"/>
  <c r="G25" i="2"/>
  <c r="G26" i="2"/>
  <c r="H26" i="2" s="1"/>
  <c r="L26" i="2" s="1"/>
  <c r="G27" i="2"/>
  <c r="H27" i="2" s="1"/>
  <c r="L27" i="2" s="1"/>
  <c r="G28" i="2"/>
  <c r="H28" i="2" s="1"/>
  <c r="L28" i="2" s="1"/>
  <c r="G29" i="2"/>
  <c r="G30" i="2"/>
  <c r="G31" i="2"/>
  <c r="G32" i="2"/>
  <c r="G33" i="2"/>
  <c r="H33" i="2" s="1"/>
  <c r="L33" i="2" s="1"/>
  <c r="G34" i="2"/>
  <c r="G35" i="2"/>
  <c r="G36" i="2"/>
  <c r="H36" i="2" s="1"/>
  <c r="L36" i="2" s="1"/>
  <c r="G37" i="2"/>
  <c r="G38" i="2"/>
  <c r="G39" i="2"/>
  <c r="G40" i="2"/>
  <c r="H40" i="2" s="1"/>
  <c r="L40" i="2" s="1"/>
  <c r="G41" i="2"/>
  <c r="G42" i="2"/>
  <c r="H42" i="2" s="1"/>
  <c r="L42" i="2" s="1"/>
  <c r="G43" i="2"/>
  <c r="H43" i="2" s="1"/>
  <c r="L43" i="2" s="1"/>
  <c r="G44" i="2"/>
  <c r="H44" i="2" s="1"/>
  <c r="L44" i="2" s="1"/>
  <c r="G45" i="2"/>
  <c r="G46" i="2"/>
  <c r="G47" i="2"/>
  <c r="G48" i="2"/>
  <c r="G49" i="2"/>
  <c r="G50" i="2"/>
  <c r="H50" i="2" s="1"/>
  <c r="L50" i="2" s="1"/>
  <c r="G51" i="2"/>
  <c r="H51" i="2" s="1"/>
  <c r="L51" i="2" s="1"/>
  <c r="G52" i="2"/>
  <c r="H52" i="2" s="1"/>
  <c r="L52" i="2" s="1"/>
  <c r="G53" i="2"/>
  <c r="G54" i="2"/>
  <c r="G55" i="2"/>
  <c r="G56" i="2"/>
  <c r="G57" i="2"/>
  <c r="H57" i="2" s="1"/>
  <c r="L57" i="2" s="1"/>
  <c r="G58" i="2"/>
  <c r="G59" i="2"/>
  <c r="G60" i="2"/>
  <c r="G61" i="2"/>
  <c r="G62" i="2"/>
  <c r="G63" i="2"/>
  <c r="G64" i="2"/>
  <c r="H64" i="2" s="1"/>
  <c r="L64" i="2" s="1"/>
  <c r="G4" i="2"/>
  <c r="H4" i="2" s="1"/>
  <c r="L4" i="2" s="1"/>
  <c r="L5" i="2"/>
  <c r="L7" i="2"/>
  <c r="L14" i="2"/>
  <c r="L15" i="2"/>
  <c r="L21" i="2"/>
  <c r="L23" i="2"/>
  <c r="L29" i="2"/>
  <c r="L30" i="2"/>
  <c r="L31" i="2"/>
  <c r="L38" i="2"/>
  <c r="L39" i="2"/>
  <c r="L45" i="2"/>
  <c r="L47" i="2"/>
  <c r="L53" i="2"/>
  <c r="L54" i="2"/>
  <c r="L62" i="2"/>
  <c r="L63" i="2"/>
  <c r="F5" i="2"/>
  <c r="H5" i="2"/>
  <c r="F6" i="2"/>
  <c r="F7" i="2"/>
  <c r="H7" i="2"/>
  <c r="F8" i="2"/>
  <c r="F9" i="2"/>
  <c r="F10" i="2"/>
  <c r="F11" i="2"/>
  <c r="F12" i="2"/>
  <c r="F13" i="2"/>
  <c r="H13" i="2"/>
  <c r="L13" i="2" s="1"/>
  <c r="F14" i="2"/>
  <c r="F15" i="2"/>
  <c r="H15" i="2"/>
  <c r="F16" i="2"/>
  <c r="F17" i="2"/>
  <c r="F18" i="2"/>
  <c r="F19" i="2"/>
  <c r="F20" i="2"/>
  <c r="F21" i="2"/>
  <c r="H21" i="2"/>
  <c r="F22" i="2"/>
  <c r="F23" i="2"/>
  <c r="H23" i="2"/>
  <c r="F24" i="2"/>
  <c r="F25" i="2"/>
  <c r="H25" i="2"/>
  <c r="L25" i="2" s="1"/>
  <c r="F26" i="2"/>
  <c r="F27" i="2"/>
  <c r="F28" i="2"/>
  <c r="F29" i="2"/>
  <c r="H29" i="2"/>
  <c r="F30" i="2"/>
  <c r="F31" i="2"/>
  <c r="H31" i="2"/>
  <c r="F32" i="2"/>
  <c r="F33" i="2"/>
  <c r="F34" i="2"/>
  <c r="F35" i="2"/>
  <c r="F36" i="2"/>
  <c r="F37" i="2"/>
  <c r="H37" i="2"/>
  <c r="L37" i="2" s="1"/>
  <c r="F38" i="2"/>
  <c r="F39" i="2"/>
  <c r="H39" i="2"/>
  <c r="F40" i="2"/>
  <c r="F41" i="2"/>
  <c r="H41" i="2"/>
  <c r="L41" i="2" s="1"/>
  <c r="F42" i="2"/>
  <c r="F43" i="2"/>
  <c r="F44" i="2"/>
  <c r="F45" i="2"/>
  <c r="H45" i="2"/>
  <c r="F46" i="2"/>
  <c r="F47" i="2"/>
  <c r="H47" i="2"/>
  <c r="F48" i="2"/>
  <c r="F49" i="2"/>
  <c r="H49" i="2"/>
  <c r="L49" i="2" s="1"/>
  <c r="F50" i="2"/>
  <c r="F51" i="2"/>
  <c r="F52" i="2"/>
  <c r="F53" i="2"/>
  <c r="H53" i="2"/>
  <c r="F54" i="2"/>
  <c r="F55" i="2"/>
  <c r="H55" i="2"/>
  <c r="L55" i="2" s="1"/>
  <c r="F56" i="2"/>
  <c r="F57" i="2"/>
  <c r="F58" i="2"/>
  <c r="F59" i="2"/>
  <c r="F60" i="2"/>
  <c r="F61" i="2"/>
  <c r="H61" i="2"/>
  <c r="L61" i="2" s="1"/>
  <c r="F62" i="2"/>
  <c r="F63" i="2"/>
  <c r="H63" i="2"/>
  <c r="F64" i="2"/>
  <c r="F4" i="2"/>
  <c r="H6" i="2"/>
  <c r="L6" i="2" s="1"/>
  <c r="H8" i="2"/>
  <c r="L8" i="2" s="1"/>
  <c r="H10" i="2"/>
  <c r="L10" i="2" s="1"/>
  <c r="H14" i="2"/>
  <c r="H16" i="2"/>
  <c r="L16" i="2" s="1"/>
  <c r="H19" i="2"/>
  <c r="L19" i="2" s="1"/>
  <c r="H22" i="2"/>
  <c r="L22" i="2" s="1"/>
  <c r="H30" i="2"/>
  <c r="H32" i="2"/>
  <c r="L32" i="2" s="1"/>
  <c r="H34" i="2"/>
  <c r="L34" i="2" s="1"/>
  <c r="H35" i="2"/>
  <c r="L35" i="2" s="1"/>
  <c r="H38" i="2"/>
  <c r="H46" i="2"/>
  <c r="L46" i="2" s="1"/>
  <c r="H48" i="2"/>
  <c r="L48" i="2" s="1"/>
  <c r="H54" i="2"/>
  <c r="H56" i="2"/>
  <c r="L56" i="2" s="1"/>
  <c r="H58" i="2"/>
  <c r="L58" i="2" s="1"/>
  <c r="H59" i="2"/>
  <c r="L59" i="2" s="1"/>
  <c r="H60" i="2"/>
  <c r="L60" i="2" s="1"/>
  <c r="H62" i="2"/>
  <c r="N8" i="4" l="1"/>
  <c r="R8" i="4" s="1"/>
  <c r="N51" i="4"/>
  <c r="R51" i="4" s="1"/>
  <c r="G37" i="4"/>
  <c r="F20" i="4"/>
  <c r="O20" i="4" s="1"/>
  <c r="G58" i="4"/>
  <c r="F29" i="4"/>
  <c r="O29" i="4" s="1"/>
  <c r="K60" i="4"/>
  <c r="M60" i="4" s="1"/>
  <c r="Q60" i="4" s="1"/>
  <c r="G60" i="4"/>
  <c r="P60" i="4" s="1"/>
  <c r="G61" i="4"/>
  <c r="P61" i="4" s="1"/>
  <c r="L45" i="4"/>
  <c r="N45" i="4" s="1"/>
  <c r="R45" i="4" s="1"/>
  <c r="G44" i="4"/>
  <c r="P44" i="4" s="1"/>
  <c r="M49" i="4"/>
  <c r="Q49" i="4" s="1"/>
  <c r="P51" i="4"/>
  <c r="P11" i="4"/>
  <c r="P8" i="4"/>
  <c r="K26" i="4"/>
  <c r="M26" i="4" s="1"/>
  <c r="Q26" i="4" s="1"/>
  <c r="M32" i="4"/>
  <c r="Q32" i="4" s="1"/>
  <c r="M18" i="4"/>
  <c r="Q18" i="4" s="1"/>
  <c r="M17" i="4"/>
  <c r="Q17" i="4" s="1"/>
  <c r="M28" i="4"/>
  <c r="Q28" i="4" s="1"/>
  <c r="L21" i="4"/>
  <c r="N21" i="4" s="1"/>
  <c r="R21" i="4" s="1"/>
  <c r="P55" i="4"/>
  <c r="L57" i="4"/>
  <c r="N57" i="4" s="1"/>
  <c r="R57" i="4" s="1"/>
  <c r="O37" i="4"/>
  <c r="L18" i="4"/>
  <c r="N18" i="4" s="1"/>
  <c r="R18" i="4" s="1"/>
  <c r="L23" i="4"/>
  <c r="N23" i="4" s="1"/>
  <c r="R23" i="4" s="1"/>
  <c r="P49" i="4"/>
  <c r="M50" i="4"/>
  <c r="Q50" i="4" s="1"/>
  <c r="P56" i="4"/>
  <c r="L17" i="4"/>
  <c r="N17" i="4" s="1"/>
  <c r="R17" i="4" s="1"/>
  <c r="L33" i="4"/>
  <c r="N33" i="4" s="1"/>
  <c r="R33" i="4" s="1"/>
  <c r="K34" i="4"/>
  <c r="M34" i="4" s="1"/>
  <c r="Q34" i="4" s="1"/>
  <c r="K21" i="4"/>
  <c r="M21" i="4" s="1"/>
  <c r="Q21" i="4" s="1"/>
  <c r="M55" i="4"/>
  <c r="Q55" i="4" s="1"/>
  <c r="M31" i="4"/>
  <c r="Q31" i="4" s="1"/>
  <c r="N35" i="4"/>
  <c r="R35" i="4" s="1"/>
  <c r="M15" i="4"/>
  <c r="Q15" i="4" s="1"/>
  <c r="L48" i="4"/>
  <c r="K20" i="4"/>
  <c r="M20" i="4" s="1"/>
  <c r="Q20" i="4" s="1"/>
  <c r="P27" i="4"/>
  <c r="K58" i="4"/>
  <c r="P64" i="4"/>
  <c r="K45" i="4"/>
  <c r="M45" i="4" s="1"/>
  <c r="Q45" i="4" s="1"/>
  <c r="K8" i="4"/>
  <c r="M8" i="4" s="1"/>
  <c r="Q8" i="4" s="1"/>
  <c r="L15" i="4"/>
  <c r="N15" i="4" s="1"/>
  <c r="R15" i="4" s="1"/>
  <c r="M33" i="4"/>
  <c r="Q33" i="4" s="1"/>
  <c r="L50" i="4"/>
  <c r="N50" i="4" s="1"/>
  <c r="R50" i="4" s="1"/>
  <c r="M4" i="4"/>
  <c r="Q4" i="4" s="1"/>
  <c r="L31" i="4"/>
  <c r="N31" i="4" s="1"/>
  <c r="R31" i="4" s="1"/>
  <c r="M41" i="4"/>
  <c r="Q41" i="4" s="1"/>
  <c r="M39" i="4"/>
  <c r="Q39" i="4" s="1"/>
  <c r="M57" i="4"/>
  <c r="Q57" i="4" s="1"/>
  <c r="L53" i="4"/>
  <c r="N53" i="4" s="1"/>
  <c r="R53" i="4" s="1"/>
  <c r="L5" i="4"/>
  <c r="N5" i="4" s="1"/>
  <c r="R5" i="4" s="1"/>
  <c r="M19" i="4"/>
  <c r="Q19" i="4" s="1"/>
  <c r="M7" i="4"/>
  <c r="Q7" i="4" s="1"/>
  <c r="L29" i="4"/>
  <c r="P24" i="4"/>
  <c r="M12" i="4"/>
  <c r="Q12" i="4" s="1"/>
  <c r="P19" i="4"/>
  <c r="P32" i="4"/>
  <c r="L63" i="4"/>
  <c r="N63" i="4" s="1"/>
  <c r="R63" i="4" s="1"/>
  <c r="L25" i="4"/>
  <c r="N25" i="4" s="1"/>
  <c r="R25" i="4" s="1"/>
  <c r="L12" i="4"/>
  <c r="N12" i="4" s="1"/>
  <c r="R12" i="4" s="1"/>
  <c r="O4" i="4"/>
  <c r="O53" i="4"/>
  <c r="K53" i="4"/>
  <c r="M53" i="4" s="1"/>
  <c r="Q53" i="4" s="1"/>
  <c r="K40" i="4"/>
  <c r="M40" i="4" s="1"/>
  <c r="Q40" i="4" s="1"/>
  <c r="L54" i="4"/>
  <c r="N54" i="4" s="1"/>
  <c r="R54" i="4" s="1"/>
  <c r="K52" i="4"/>
  <c r="M52" i="4" s="1"/>
  <c r="Q52" i="4" s="1"/>
  <c r="O61" i="4"/>
  <c r="P41" i="4"/>
  <c r="L41" i="4"/>
  <c r="N41" i="4" s="1"/>
  <c r="R41" i="4" s="1"/>
  <c r="P39" i="4"/>
  <c r="L7" i="4"/>
  <c r="N7" i="4" s="1"/>
  <c r="R7" i="4" s="1"/>
  <c r="L20" i="4"/>
  <c r="N20" i="4" s="1"/>
  <c r="R20" i="4" s="1"/>
  <c r="L9" i="4"/>
  <c r="N9" i="4" s="1"/>
  <c r="R9" i="4" s="1"/>
  <c r="K36" i="4"/>
  <c r="M36" i="4" s="1"/>
  <c r="Q36" i="4" s="1"/>
  <c r="P16" i="4"/>
  <c r="L47" i="4"/>
  <c r="N47" i="4" s="1"/>
  <c r="R47" i="4" s="1"/>
  <c r="P28" i="4"/>
  <c r="L36" i="4"/>
  <c r="N36" i="4" s="1"/>
  <c r="R36" i="4" s="1"/>
  <c r="K29" i="4"/>
  <c r="M29" i="4" s="1"/>
  <c r="Q29" i="4" s="1"/>
  <c r="K13" i="4"/>
  <c r="M13" i="4" s="1"/>
  <c r="Q13" i="4" s="1"/>
  <c r="M47" i="4"/>
  <c r="Q47" i="4" s="1"/>
  <c r="M43" i="4"/>
  <c r="Q43" i="4" s="1"/>
  <c r="P43" i="4"/>
  <c r="L62" i="4"/>
  <c r="N62" i="4" s="1"/>
  <c r="R62" i="4" s="1"/>
  <c r="P62" i="4"/>
  <c r="P35" i="4"/>
  <c r="L44" i="4"/>
  <c r="N44" i="4" s="1"/>
  <c r="R44" i="4" s="1"/>
  <c r="M9" i="4"/>
  <c r="Q9" i="4" s="1"/>
  <c r="L4" i="4"/>
  <c r="N4" i="4" s="1"/>
  <c r="R4" i="4" s="1"/>
  <c r="O32" i="4"/>
  <c r="P52" i="4"/>
  <c r="L52" i="4"/>
  <c r="N52" i="4" s="1"/>
  <c r="R52" i="4" s="1"/>
  <c r="N19" i="4"/>
  <c r="R19" i="4" s="1"/>
  <c r="L13" i="4"/>
  <c r="N13" i="4" s="1"/>
  <c r="R13" i="4" s="1"/>
  <c r="P13" i="4"/>
  <c r="L40" i="4"/>
  <c r="N40" i="4" s="1"/>
  <c r="R40" i="4" s="1"/>
  <c r="P40" i="4"/>
  <c r="O19" i="4"/>
  <c r="O63" i="4"/>
  <c r="K63" i="4"/>
  <c r="M63" i="4" s="1"/>
  <c r="Q63" i="4" s="1"/>
  <c r="O25" i="4"/>
  <c r="K25" i="4"/>
  <c r="M25" i="4" s="1"/>
  <c r="Q25" i="4" s="1"/>
  <c r="L14" i="4"/>
  <c r="N14" i="4" s="1"/>
  <c r="R14" i="4" s="1"/>
  <c r="P14" i="4"/>
  <c r="P42" i="4"/>
  <c r="L42" i="4"/>
  <c r="N42" i="4" s="1"/>
  <c r="R42" i="4" s="1"/>
  <c r="L58" i="4"/>
  <c r="N58" i="4" s="1"/>
  <c r="R58" i="4" s="1"/>
  <c r="P58" i="4"/>
  <c r="P26" i="4"/>
  <c r="L26" i="4"/>
  <c r="N26" i="4" s="1"/>
  <c r="R26" i="4" s="1"/>
  <c r="P34" i="4"/>
  <c r="L34" i="4"/>
  <c r="N34" i="4" s="1"/>
  <c r="R34" i="4" s="1"/>
  <c r="M42" i="4"/>
  <c r="Q42" i="4" s="1"/>
  <c r="P6" i="4"/>
  <c r="L6" i="4"/>
  <c r="N6" i="4" s="1"/>
  <c r="R6" i="4" s="1"/>
  <c r="N16" i="4"/>
  <c r="R16" i="4" s="1"/>
  <c r="K35" i="4"/>
  <c r="M35" i="4" s="1"/>
  <c r="Q35" i="4" s="1"/>
  <c r="O35" i="4"/>
  <c r="K62" i="4"/>
  <c r="M62" i="4" s="1"/>
  <c r="Q62" i="4" s="1"/>
  <c r="O62" i="4"/>
  <c r="O48" i="4"/>
  <c r="K48" i="4"/>
  <c r="M48" i="4" s="1"/>
  <c r="Q48" i="4" s="1"/>
  <c r="K11" i="4"/>
  <c r="M11" i="4" s="1"/>
  <c r="Q11" i="4" s="1"/>
  <c r="O11" i="4"/>
  <c r="N11" i="4"/>
  <c r="R11" i="4" s="1"/>
  <c r="K30" i="4"/>
  <c r="M30" i="4" s="1"/>
  <c r="Q30" i="4" s="1"/>
  <c r="O30" i="4"/>
  <c r="K27" i="4"/>
  <c r="M27" i="4" s="1"/>
  <c r="Q27" i="4" s="1"/>
  <c r="O27" i="4"/>
  <c r="N10" i="4"/>
  <c r="R10" i="4" s="1"/>
  <c r="O24" i="4"/>
  <c r="K24" i="4"/>
  <c r="M24" i="4" s="1"/>
  <c r="Q24" i="4" s="1"/>
  <c r="K16" i="4"/>
  <c r="M16" i="4" s="1"/>
  <c r="Q16" i="4" s="1"/>
  <c r="O16" i="4"/>
  <c r="K54" i="4"/>
  <c r="M54" i="4" s="1"/>
  <c r="Q54" i="4" s="1"/>
  <c r="O54" i="4"/>
  <c r="K22" i="4"/>
  <c r="M22" i="4" s="1"/>
  <c r="Q22" i="4" s="1"/>
  <c r="O22" i="4"/>
  <c r="O10" i="4"/>
  <c r="K10" i="4"/>
  <c r="M10" i="4" s="1"/>
  <c r="Q10" i="4" s="1"/>
  <c r="L30" i="4"/>
  <c r="N30" i="4" s="1"/>
  <c r="R30" i="4" s="1"/>
  <c r="P30" i="4"/>
  <c r="K51" i="4"/>
  <c r="M51" i="4" s="1"/>
  <c r="Q51" i="4" s="1"/>
  <c r="O51" i="4"/>
  <c r="K5" i="4"/>
  <c r="M5" i="4" s="1"/>
  <c r="Q5" i="4" s="1"/>
  <c r="O5" i="4"/>
  <c r="O56" i="4"/>
  <c r="K56" i="4"/>
  <c r="M56" i="4" s="1"/>
  <c r="Q56" i="4" s="1"/>
  <c r="N56" i="4"/>
  <c r="R56" i="4" s="1"/>
  <c r="P22" i="4"/>
  <c r="L22" i="4"/>
  <c r="N22" i="4" s="1"/>
  <c r="R22" i="4" s="1"/>
  <c r="K14" i="4"/>
  <c r="M14" i="4" s="1"/>
  <c r="Q14" i="4" s="1"/>
  <c r="O14" i="4"/>
  <c r="K38" i="4"/>
  <c r="M38" i="4" s="1"/>
  <c r="Q38" i="4" s="1"/>
  <c r="O38" i="4"/>
  <c r="L59" i="4"/>
  <c r="N59" i="4" s="1"/>
  <c r="R59" i="4" s="1"/>
  <c r="P59" i="4"/>
  <c r="P38" i="4"/>
  <c r="L38" i="4"/>
  <c r="N38" i="4" s="1"/>
  <c r="R38" i="4" s="1"/>
  <c r="K59" i="4"/>
  <c r="M59" i="4" s="1"/>
  <c r="Q59" i="4" s="1"/>
  <c r="O59" i="4"/>
  <c r="N24" i="4"/>
  <c r="R24" i="4" s="1"/>
  <c r="O64" i="4"/>
  <c r="K64" i="4"/>
  <c r="M64" i="4" s="1"/>
  <c r="Q64" i="4" s="1"/>
  <c r="K46" i="4"/>
  <c r="M46" i="4" s="1"/>
  <c r="Q46" i="4" s="1"/>
  <c r="O46" i="4"/>
  <c r="N48" i="4"/>
  <c r="R48" i="4" s="1"/>
  <c r="L46" i="4"/>
  <c r="N46" i="4" s="1"/>
  <c r="R46" i="4" s="1"/>
  <c r="P46" i="4"/>
  <c r="K6" i="4"/>
  <c r="M6" i="4" s="1"/>
  <c r="Q6" i="4" s="1"/>
  <c r="O6" i="4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4" i="2"/>
  <c r="N29" i="4" l="1"/>
  <c r="R29" i="4" s="1"/>
  <c r="L60" i="4"/>
  <c r="N60" i="4" s="1"/>
  <c r="R60" i="4" s="1"/>
  <c r="M58" i="4"/>
  <c r="Q58" i="4" s="1"/>
  <c r="L37" i="4"/>
  <c r="N37" i="4" s="1"/>
  <c r="R37" i="4" s="1"/>
  <c r="P37" i="4"/>
  <c r="M37" i="4"/>
  <c r="Q37" i="4" s="1"/>
  <c r="M61" i="4"/>
  <c r="Q61" i="4" s="1"/>
  <c r="M44" i="4"/>
  <c r="Q44" i="4" s="1"/>
  <c r="L61" i="4"/>
  <c r="N61" i="4" s="1"/>
  <c r="R61" i="4" s="1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K4" i="2"/>
  <c r="J4" i="2"/>
  <c r="E16" i="2"/>
  <c r="E18" i="2"/>
  <c r="E20" i="2"/>
  <c r="E26" i="2"/>
  <c r="E27" i="2"/>
  <c r="E28" i="2"/>
  <c r="E32" i="2"/>
  <c r="E34" i="2"/>
  <c r="E40" i="2"/>
  <c r="E42" i="2"/>
  <c r="E43" i="2"/>
  <c r="E48" i="2"/>
  <c r="E52" i="2"/>
  <c r="E56" i="2"/>
  <c r="E59" i="2"/>
  <c r="C5" i="2"/>
  <c r="D5" i="2" s="1"/>
  <c r="C6" i="2"/>
  <c r="E6" i="2" s="1"/>
  <c r="C7" i="2"/>
  <c r="E7" i="2" s="1"/>
  <c r="C8" i="2"/>
  <c r="D8" i="2" s="1"/>
  <c r="C9" i="2"/>
  <c r="D9" i="2" s="1"/>
  <c r="C10" i="2"/>
  <c r="D10" i="2" s="1"/>
  <c r="C11" i="2"/>
  <c r="E11" i="2" s="1"/>
  <c r="C12" i="2"/>
  <c r="D12" i="2" s="1"/>
  <c r="C13" i="2"/>
  <c r="E13" i="2" s="1"/>
  <c r="C14" i="2"/>
  <c r="D14" i="2" s="1"/>
  <c r="C15" i="2"/>
  <c r="D15" i="2" s="1"/>
  <c r="C16" i="2"/>
  <c r="C17" i="2"/>
  <c r="D17" i="2" s="1"/>
  <c r="C18" i="2"/>
  <c r="D18" i="2" s="1"/>
  <c r="C19" i="2"/>
  <c r="E19" i="2" s="1"/>
  <c r="C20" i="2"/>
  <c r="D20" i="2" s="1"/>
  <c r="C21" i="2"/>
  <c r="E21" i="2" s="1"/>
  <c r="C22" i="2"/>
  <c r="E22" i="2" s="1"/>
  <c r="C23" i="2"/>
  <c r="D23" i="2" s="1"/>
  <c r="C24" i="2"/>
  <c r="D24" i="2" s="1"/>
  <c r="C25" i="2"/>
  <c r="E25" i="2" s="1"/>
  <c r="C26" i="2"/>
  <c r="D26" i="2" s="1"/>
  <c r="C27" i="2"/>
  <c r="C28" i="2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C41" i="2"/>
  <c r="E41" i="2" s="1"/>
  <c r="C42" i="2"/>
  <c r="D42" i="2" s="1"/>
  <c r="C43" i="2"/>
  <c r="C44" i="2"/>
  <c r="E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E51" i="2" s="1"/>
  <c r="C52" i="2"/>
  <c r="D52" i="2" s="1"/>
  <c r="C53" i="2"/>
  <c r="E53" i="2" s="1"/>
  <c r="C54" i="2"/>
  <c r="D54" i="2" s="1"/>
  <c r="C55" i="2"/>
  <c r="D55" i="2" s="1"/>
  <c r="C56" i="2"/>
  <c r="C57" i="2"/>
  <c r="D57" i="2" s="1"/>
  <c r="C58" i="2"/>
  <c r="D58" i="2" s="1"/>
  <c r="C59" i="2"/>
  <c r="D59" i="2" s="1"/>
  <c r="C60" i="2"/>
  <c r="D60" i="2" s="1"/>
  <c r="C61" i="2"/>
  <c r="D61" i="2" s="1"/>
  <c r="C62" i="2"/>
  <c r="E62" i="2" s="1"/>
  <c r="C63" i="2"/>
  <c r="D63" i="2" s="1"/>
  <c r="C64" i="2"/>
  <c r="D64" i="2" s="1"/>
  <c r="C4" i="2"/>
  <c r="D4" i="2" s="1"/>
  <c r="D56" i="2"/>
  <c r="D51" i="2"/>
  <c r="D44" i="2"/>
  <c r="D43" i="2"/>
  <c r="D40" i="2"/>
  <c r="D28" i="2"/>
  <c r="D27" i="2"/>
  <c r="D19" i="2"/>
  <c r="D16" i="2"/>
  <c r="D13" i="2"/>
  <c r="D11" i="2"/>
  <c r="D7" i="2"/>
  <c r="D41" i="2" l="1"/>
  <c r="E4" i="2"/>
  <c r="E12" i="2"/>
  <c r="E17" i="2"/>
  <c r="D22" i="2"/>
  <c r="D25" i="2"/>
  <c r="E64" i="2"/>
  <c r="E50" i="2"/>
  <c r="E36" i="2"/>
  <c r="E60" i="2"/>
  <c r="E49" i="2"/>
  <c r="E35" i="2"/>
  <c r="E24" i="2"/>
  <c r="E10" i="2"/>
  <c r="E9" i="2"/>
  <c r="E58" i="2"/>
  <c r="E33" i="2"/>
  <c r="E8" i="2"/>
  <c r="E57" i="2"/>
  <c r="E63" i="2"/>
  <c r="E55" i="2"/>
  <c r="E47" i="2"/>
  <c r="E39" i="2"/>
  <c r="E31" i="2"/>
  <c r="E23" i="2"/>
  <c r="E15" i="2"/>
  <c r="D62" i="2"/>
  <c r="D6" i="2"/>
  <c r="D53" i="2"/>
  <c r="E54" i="2"/>
  <c r="E46" i="2"/>
  <c r="E38" i="2"/>
  <c r="E30" i="2"/>
  <c r="E14" i="2"/>
  <c r="D21" i="2"/>
  <c r="E61" i="2"/>
  <c r="E45" i="2"/>
  <c r="E37" i="2"/>
  <c r="E29" i="2"/>
  <c r="E5" i="2"/>
</calcChain>
</file>

<file path=xl/sharedStrings.xml><?xml version="1.0" encoding="utf-8"?>
<sst xmlns="http://schemas.openxmlformats.org/spreadsheetml/2006/main" count="128" uniqueCount="38">
  <si>
    <t>Frame</t>
    <phoneticPr fontId="1"/>
  </si>
  <si>
    <t>θ</t>
    <phoneticPr fontId="1"/>
  </si>
  <si>
    <t>sinθ</t>
    <phoneticPr fontId="1"/>
  </si>
  <si>
    <t>VX</t>
    <phoneticPr fontId="1"/>
  </si>
  <si>
    <t>VY</t>
    <phoneticPr fontId="1"/>
  </si>
  <si>
    <t>SX</t>
    <phoneticPr fontId="1"/>
  </si>
  <si>
    <t>SY</t>
    <phoneticPr fontId="1"/>
  </si>
  <si>
    <t>cosθ</t>
    <phoneticPr fontId="1"/>
  </si>
  <si>
    <t>422x80</t>
    <phoneticPr fontId="1"/>
  </si>
  <si>
    <t>SY*2</t>
    <phoneticPr fontId="1"/>
  </si>
  <si>
    <t>SY</t>
    <phoneticPr fontId="1"/>
  </si>
  <si>
    <t>θ</t>
    <phoneticPr fontId="1"/>
  </si>
  <si>
    <t>cosθ</t>
    <phoneticPr fontId="1"/>
  </si>
  <si>
    <t>sinθ</t>
    <phoneticPr fontId="1"/>
  </si>
  <si>
    <t>回転中心</t>
    <rPh sb="0" eb="2">
      <t>カイテン</t>
    </rPh>
    <rPh sb="2" eb="4">
      <t>チュウシン</t>
    </rPh>
    <phoneticPr fontId="1"/>
  </si>
  <si>
    <t>Yオフセット</t>
    <phoneticPr fontId="1"/>
  </si>
  <si>
    <t>leftX</t>
    <phoneticPr fontId="1"/>
  </si>
  <si>
    <t>leftY</t>
    <phoneticPr fontId="1"/>
  </si>
  <si>
    <t>topX</t>
    <phoneticPr fontId="1"/>
  </si>
  <si>
    <t>topY</t>
    <phoneticPr fontId="1"/>
  </si>
  <si>
    <t>VX</t>
    <phoneticPr fontId="1"/>
  </si>
  <si>
    <t>VY</t>
    <phoneticPr fontId="1"/>
  </si>
  <si>
    <t>SX</t>
    <phoneticPr fontId="1"/>
  </si>
  <si>
    <t>SY</t>
    <phoneticPr fontId="1"/>
  </si>
  <si>
    <t>φ+π/4</t>
    <phoneticPr fontId="1"/>
  </si>
  <si>
    <t>sin^2(φ+π/4)</t>
    <phoneticPr fontId="1"/>
  </si>
  <si>
    <t>θ=(sin^2(φ+π/4)-0.5)*√3</t>
    <phoneticPr fontId="1"/>
  </si>
  <si>
    <t>(45,32)-(422,80)</t>
    <phoneticPr fontId="1"/>
  </si>
  <si>
    <t>(0,0)-(512,192)</t>
    <phoneticPr fontId="1"/>
  </si>
  <si>
    <t>拡大率</t>
    <rPh sb="0" eb="3">
      <t>カクダイリツ</t>
    </rPh>
    <phoneticPr fontId="1"/>
  </si>
  <si>
    <t>ShiftY</t>
    <phoneticPr fontId="1"/>
  </si>
  <si>
    <t>上下バウンド</t>
    <rPh sb="0" eb="2">
      <t>ジョウゲ</t>
    </rPh>
    <phoneticPr fontId="1"/>
  </si>
  <si>
    <t>ABS(sinφ)</t>
    <phoneticPr fontId="1"/>
  </si>
  <si>
    <t>バウンドゲイン</t>
    <phoneticPr fontId="1"/>
  </si>
  <si>
    <t>θ=(sin^2(φ+π/4)-0.5)*√3/2</t>
    <phoneticPr fontId="1"/>
  </si>
  <si>
    <t>左右振り</t>
    <rPh sb="0" eb="2">
      <t>サユウ</t>
    </rPh>
    <rPh sb="2" eb="3">
      <t>フ</t>
    </rPh>
    <phoneticPr fontId="1"/>
  </si>
  <si>
    <t>左右ゲイン</t>
    <rPh sb="0" eb="2">
      <t>サユウ</t>
    </rPh>
    <phoneticPr fontId="1"/>
  </si>
  <si>
    <t>ShiftX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</si>
</sst>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4"/>
  <sheetViews>
    <sheetView zoomScale="130" zoomScaleNormal="130" workbookViewId="0">
      <selection activeCell="C10" sqref="C10"/>
    </sheetView>
  </sheetViews>
  <sheetFormatPr defaultRowHeight="13.5" x14ac:dyDescent="0.15"/>
  <cols>
    <col min="1" max="1" width="2.875" customWidth="1"/>
  </cols>
  <sheetData>
    <row r="1" spans="2:16" x14ac:dyDescent="0.15">
      <c r="B1" t="s">
        <v>27</v>
      </c>
    </row>
    <row r="2" spans="2:16" x14ac:dyDescent="0.15">
      <c r="F2" s="5" t="s">
        <v>14</v>
      </c>
      <c r="G2" s="5"/>
    </row>
    <row r="3" spans="2:16" x14ac:dyDescent="0.15">
      <c r="B3" t="s">
        <v>0</v>
      </c>
      <c r="C3" t="s">
        <v>11</v>
      </c>
      <c r="D3" t="s">
        <v>12</v>
      </c>
      <c r="E3" t="s">
        <v>13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</row>
    <row r="4" spans="2:16" x14ac:dyDescent="0.15">
      <c r="B4">
        <v>0</v>
      </c>
      <c r="C4">
        <f>2*PI()*B4/60</f>
        <v>0</v>
      </c>
      <c r="D4">
        <f>COS(C4)</f>
        <v>1</v>
      </c>
      <c r="E4">
        <f>SIN(C4)</f>
        <v>0</v>
      </c>
      <c r="F4">
        <v>256</v>
      </c>
      <c r="G4">
        <v>80</v>
      </c>
      <c r="H4">
        <v>192</v>
      </c>
      <c r="I4">
        <f>F4-D4*211</f>
        <v>45</v>
      </c>
      <c r="J4">
        <f>G4-E4*211</f>
        <v>80</v>
      </c>
      <c r="K4">
        <f>I4+E4*80</f>
        <v>45</v>
      </c>
      <c r="L4">
        <f>J4-D4*80</f>
        <v>0</v>
      </c>
      <c r="M4">
        <f>INT(D4*256)</f>
        <v>256</v>
      </c>
      <c r="N4">
        <f>INT(E4*256)</f>
        <v>0</v>
      </c>
      <c r="O4">
        <f>INT(K4)</f>
        <v>45</v>
      </c>
      <c r="P4">
        <f>INT(L4/2)+H4</f>
        <v>192</v>
      </c>
    </row>
    <row r="5" spans="2:16" x14ac:dyDescent="0.15">
      <c r="B5">
        <v>1</v>
      </c>
      <c r="C5">
        <f t="shared" ref="C5:C64" si="0">2*PI()*B5/60</f>
        <v>0.10471975511965977</v>
      </c>
      <c r="D5">
        <f t="shared" ref="D5:D64" si="1">COS(C5)</f>
        <v>0.99452189536827329</v>
      </c>
      <c r="E5">
        <f t="shared" ref="E5:E64" si="2">SIN(C5)</f>
        <v>0.10452846326765346</v>
      </c>
      <c r="F5">
        <v>256</v>
      </c>
      <c r="G5">
        <v>80</v>
      </c>
      <c r="H5">
        <v>192</v>
      </c>
      <c r="I5">
        <f t="shared" ref="I5:I64" si="3">F5-D5*211</f>
        <v>46.155880077294341</v>
      </c>
      <c r="J5">
        <f t="shared" ref="J5:J64" si="4">G5-E5*211</f>
        <v>57.944494250525125</v>
      </c>
      <c r="K5">
        <f t="shared" ref="K5:K64" si="5">I5+E5*80</f>
        <v>54.51815713870662</v>
      </c>
      <c r="L5">
        <f t="shared" ref="L5:L64" si="6">J5-D5*80</f>
        <v>-21.617257378936742</v>
      </c>
      <c r="M5">
        <f t="shared" ref="M5:M64" si="7">INT(D5*256)</f>
        <v>254</v>
      </c>
      <c r="N5">
        <f t="shared" ref="N5:N64" si="8">INT(E5*256)</f>
        <v>26</v>
      </c>
      <c r="O5">
        <f t="shared" ref="O5:O64" si="9">INT(K5)</f>
        <v>54</v>
      </c>
      <c r="P5">
        <f t="shared" ref="P5:P64" si="10">INT(L5/2)+H5</f>
        <v>181</v>
      </c>
    </row>
    <row r="6" spans="2:16" x14ac:dyDescent="0.15">
      <c r="B6">
        <v>2</v>
      </c>
      <c r="C6">
        <f t="shared" si="0"/>
        <v>0.20943951023931953</v>
      </c>
      <c r="D6">
        <f t="shared" si="1"/>
        <v>0.97814760073380569</v>
      </c>
      <c r="E6">
        <f t="shared" si="2"/>
        <v>0.20791169081775931</v>
      </c>
      <c r="F6">
        <v>256</v>
      </c>
      <c r="G6">
        <v>80</v>
      </c>
      <c r="H6">
        <v>192</v>
      </c>
      <c r="I6">
        <f t="shared" si="3"/>
        <v>49.610856245166985</v>
      </c>
      <c r="J6">
        <f t="shared" si="4"/>
        <v>36.130633237452784</v>
      </c>
      <c r="K6">
        <f t="shared" si="5"/>
        <v>66.243791510587727</v>
      </c>
      <c r="L6">
        <f t="shared" si="6"/>
        <v>-42.121174821251671</v>
      </c>
      <c r="M6">
        <f t="shared" si="7"/>
        <v>250</v>
      </c>
      <c r="N6">
        <f t="shared" si="8"/>
        <v>53</v>
      </c>
      <c r="O6">
        <f t="shared" si="9"/>
        <v>66</v>
      </c>
      <c r="P6">
        <f t="shared" si="10"/>
        <v>170</v>
      </c>
    </row>
    <row r="7" spans="2:16" x14ac:dyDescent="0.15">
      <c r="B7">
        <v>3</v>
      </c>
      <c r="C7">
        <f t="shared" si="0"/>
        <v>0.31415926535897931</v>
      </c>
      <c r="D7">
        <f t="shared" si="1"/>
        <v>0.95105651629515353</v>
      </c>
      <c r="E7">
        <f t="shared" si="2"/>
        <v>0.3090169943749474</v>
      </c>
      <c r="F7">
        <v>256</v>
      </c>
      <c r="G7">
        <v>80</v>
      </c>
      <c r="H7">
        <v>192</v>
      </c>
      <c r="I7">
        <f t="shared" si="3"/>
        <v>55.32707506172261</v>
      </c>
      <c r="J7">
        <f t="shared" si="4"/>
        <v>14.797414186886101</v>
      </c>
      <c r="K7">
        <f t="shared" si="5"/>
        <v>80.048434611718406</v>
      </c>
      <c r="L7">
        <f t="shared" si="6"/>
        <v>-61.287107116726176</v>
      </c>
      <c r="M7">
        <f t="shared" si="7"/>
        <v>243</v>
      </c>
      <c r="N7">
        <f t="shared" si="8"/>
        <v>79</v>
      </c>
      <c r="O7">
        <f t="shared" si="9"/>
        <v>80</v>
      </c>
      <c r="P7">
        <f t="shared" si="10"/>
        <v>161</v>
      </c>
    </row>
    <row r="8" spans="2:16" x14ac:dyDescent="0.15">
      <c r="B8">
        <v>4</v>
      </c>
      <c r="C8">
        <f t="shared" si="0"/>
        <v>0.41887902047863906</v>
      </c>
      <c r="D8">
        <f t="shared" si="1"/>
        <v>0.91354545764260087</v>
      </c>
      <c r="E8">
        <f t="shared" si="2"/>
        <v>0.40673664307580015</v>
      </c>
      <c r="F8">
        <v>256</v>
      </c>
      <c r="G8">
        <v>80</v>
      </c>
      <c r="H8">
        <v>192</v>
      </c>
      <c r="I8">
        <f t="shared" si="3"/>
        <v>63.241908437411212</v>
      </c>
      <c r="J8">
        <f t="shared" si="4"/>
        <v>-5.821431688993826</v>
      </c>
      <c r="K8">
        <f t="shared" si="5"/>
        <v>95.780839883475224</v>
      </c>
      <c r="L8">
        <f t="shared" si="6"/>
        <v>-78.905068300401894</v>
      </c>
      <c r="M8">
        <f t="shared" si="7"/>
        <v>233</v>
      </c>
      <c r="N8">
        <f t="shared" si="8"/>
        <v>104</v>
      </c>
      <c r="O8">
        <f t="shared" si="9"/>
        <v>95</v>
      </c>
      <c r="P8">
        <f t="shared" si="10"/>
        <v>152</v>
      </c>
    </row>
    <row r="9" spans="2:16" x14ac:dyDescent="0.15">
      <c r="B9">
        <v>5</v>
      </c>
      <c r="C9">
        <f t="shared" si="0"/>
        <v>0.52359877559829882</v>
      </c>
      <c r="D9">
        <f t="shared" si="1"/>
        <v>0.86602540378443871</v>
      </c>
      <c r="E9">
        <f t="shared" si="2"/>
        <v>0.49999999999999994</v>
      </c>
      <c r="F9">
        <v>256</v>
      </c>
      <c r="G9">
        <v>80</v>
      </c>
      <c r="H9">
        <v>192</v>
      </c>
      <c r="I9">
        <f t="shared" si="3"/>
        <v>73.268639801483431</v>
      </c>
      <c r="J9">
        <f t="shared" si="4"/>
        <v>-25.499999999999986</v>
      </c>
      <c r="K9">
        <f t="shared" si="5"/>
        <v>113.26863980148343</v>
      </c>
      <c r="L9">
        <f t="shared" si="6"/>
        <v>-94.782032302755084</v>
      </c>
      <c r="M9">
        <f t="shared" si="7"/>
        <v>221</v>
      </c>
      <c r="N9">
        <f t="shared" si="8"/>
        <v>128</v>
      </c>
      <c r="O9">
        <f t="shared" si="9"/>
        <v>113</v>
      </c>
      <c r="P9">
        <f t="shared" si="10"/>
        <v>144</v>
      </c>
    </row>
    <row r="10" spans="2:16" x14ac:dyDescent="0.15">
      <c r="B10">
        <v>6</v>
      </c>
      <c r="C10">
        <f t="shared" si="0"/>
        <v>0.62831853071795862</v>
      </c>
      <c r="D10">
        <f t="shared" si="1"/>
        <v>0.80901699437494745</v>
      </c>
      <c r="E10">
        <f t="shared" si="2"/>
        <v>0.58778525229247314</v>
      </c>
      <c r="F10">
        <v>256</v>
      </c>
      <c r="G10">
        <v>80</v>
      </c>
      <c r="H10">
        <v>192</v>
      </c>
      <c r="I10">
        <f t="shared" si="3"/>
        <v>85.297414186886101</v>
      </c>
      <c r="J10">
        <f t="shared" si="4"/>
        <v>-44.022688233711833</v>
      </c>
      <c r="K10">
        <f t="shared" si="5"/>
        <v>132.32023437028397</v>
      </c>
      <c r="L10">
        <f t="shared" si="6"/>
        <v>-108.74404778370763</v>
      </c>
      <c r="M10">
        <f t="shared" si="7"/>
        <v>207</v>
      </c>
      <c r="N10">
        <f t="shared" si="8"/>
        <v>150</v>
      </c>
      <c r="O10">
        <f t="shared" si="9"/>
        <v>132</v>
      </c>
      <c r="P10">
        <f t="shared" si="10"/>
        <v>137</v>
      </c>
    </row>
    <row r="11" spans="2:16" x14ac:dyDescent="0.15">
      <c r="B11">
        <v>7</v>
      </c>
      <c r="C11">
        <f t="shared" si="0"/>
        <v>0.73303828583761843</v>
      </c>
      <c r="D11">
        <f t="shared" si="1"/>
        <v>0.74314482547739424</v>
      </c>
      <c r="E11">
        <f t="shared" si="2"/>
        <v>0.66913060635885824</v>
      </c>
      <c r="F11">
        <v>256</v>
      </c>
      <c r="G11">
        <v>80</v>
      </c>
      <c r="H11">
        <v>192</v>
      </c>
      <c r="I11">
        <f t="shared" si="3"/>
        <v>99.196441824269812</v>
      </c>
      <c r="J11">
        <f t="shared" si="4"/>
        <v>-61.186557941719087</v>
      </c>
      <c r="K11">
        <f t="shared" si="5"/>
        <v>152.72689033297848</v>
      </c>
      <c r="L11">
        <f t="shared" si="6"/>
        <v>-120.63814397991062</v>
      </c>
      <c r="M11">
        <f t="shared" si="7"/>
        <v>190</v>
      </c>
      <c r="N11">
        <f t="shared" si="8"/>
        <v>171</v>
      </c>
      <c r="O11">
        <f t="shared" si="9"/>
        <v>152</v>
      </c>
      <c r="P11">
        <f t="shared" si="10"/>
        <v>131</v>
      </c>
    </row>
    <row r="12" spans="2:16" x14ac:dyDescent="0.15">
      <c r="B12">
        <v>8</v>
      </c>
      <c r="C12">
        <f t="shared" si="0"/>
        <v>0.83775804095727813</v>
      </c>
      <c r="D12">
        <f t="shared" si="1"/>
        <v>0.66913060635885824</v>
      </c>
      <c r="E12">
        <f t="shared" si="2"/>
        <v>0.74314482547739413</v>
      </c>
      <c r="F12">
        <v>256</v>
      </c>
      <c r="G12">
        <v>80</v>
      </c>
      <c r="H12">
        <v>192</v>
      </c>
      <c r="I12">
        <f t="shared" si="3"/>
        <v>114.81344205828091</v>
      </c>
      <c r="J12">
        <f t="shared" si="4"/>
        <v>-76.80355817573016</v>
      </c>
      <c r="K12">
        <f t="shared" si="5"/>
        <v>174.26502809647243</v>
      </c>
      <c r="L12">
        <f t="shared" si="6"/>
        <v>-130.3340066844388</v>
      </c>
      <c r="M12">
        <f t="shared" si="7"/>
        <v>171</v>
      </c>
      <c r="N12">
        <f t="shared" si="8"/>
        <v>190</v>
      </c>
      <c r="O12">
        <f t="shared" si="9"/>
        <v>174</v>
      </c>
      <c r="P12">
        <f t="shared" si="10"/>
        <v>126</v>
      </c>
    </row>
    <row r="13" spans="2:16" x14ac:dyDescent="0.15">
      <c r="B13">
        <v>9</v>
      </c>
      <c r="C13">
        <f t="shared" si="0"/>
        <v>0.94247779607693793</v>
      </c>
      <c r="D13">
        <f t="shared" si="1"/>
        <v>0.58778525229247314</v>
      </c>
      <c r="E13">
        <f t="shared" si="2"/>
        <v>0.80901699437494745</v>
      </c>
      <c r="F13">
        <v>256</v>
      </c>
      <c r="G13">
        <v>80</v>
      </c>
      <c r="H13">
        <v>192</v>
      </c>
      <c r="I13">
        <f t="shared" si="3"/>
        <v>131.97731176628815</v>
      </c>
      <c r="J13">
        <f t="shared" si="4"/>
        <v>-90.702585813113899</v>
      </c>
      <c r="K13">
        <f t="shared" si="5"/>
        <v>196.69867131628394</v>
      </c>
      <c r="L13">
        <f t="shared" si="6"/>
        <v>-137.72540599651177</v>
      </c>
      <c r="M13">
        <f t="shared" si="7"/>
        <v>150</v>
      </c>
      <c r="N13">
        <f t="shared" si="8"/>
        <v>207</v>
      </c>
      <c r="O13">
        <f t="shared" si="9"/>
        <v>196</v>
      </c>
      <c r="P13">
        <f t="shared" si="10"/>
        <v>123</v>
      </c>
    </row>
    <row r="14" spans="2:16" x14ac:dyDescent="0.15">
      <c r="B14">
        <v>10</v>
      </c>
      <c r="C14">
        <f t="shared" si="0"/>
        <v>1.0471975511965976</v>
      </c>
      <c r="D14">
        <f t="shared" si="1"/>
        <v>0.50000000000000011</v>
      </c>
      <c r="E14">
        <f t="shared" si="2"/>
        <v>0.8660254037844386</v>
      </c>
      <c r="F14">
        <v>256</v>
      </c>
      <c r="G14">
        <v>80</v>
      </c>
      <c r="H14">
        <v>192</v>
      </c>
      <c r="I14">
        <f t="shared" si="3"/>
        <v>150.49999999999997</v>
      </c>
      <c r="J14">
        <f t="shared" si="4"/>
        <v>-102.73136019851654</v>
      </c>
      <c r="K14">
        <f t="shared" si="5"/>
        <v>219.78203230275506</v>
      </c>
      <c r="L14">
        <f t="shared" si="6"/>
        <v>-142.73136019851654</v>
      </c>
      <c r="M14">
        <f t="shared" si="7"/>
        <v>128</v>
      </c>
      <c r="N14">
        <f t="shared" si="8"/>
        <v>221</v>
      </c>
      <c r="O14">
        <f t="shared" si="9"/>
        <v>219</v>
      </c>
      <c r="P14">
        <f t="shared" si="10"/>
        <v>120</v>
      </c>
    </row>
    <row r="15" spans="2:16" x14ac:dyDescent="0.15">
      <c r="B15">
        <v>11</v>
      </c>
      <c r="C15">
        <f t="shared" si="0"/>
        <v>1.1519173063162573</v>
      </c>
      <c r="D15">
        <f t="shared" si="1"/>
        <v>0.40673664307580037</v>
      </c>
      <c r="E15">
        <f t="shared" si="2"/>
        <v>0.91354545764260087</v>
      </c>
      <c r="F15">
        <v>256</v>
      </c>
      <c r="G15">
        <v>80</v>
      </c>
      <c r="H15">
        <v>192</v>
      </c>
      <c r="I15">
        <f t="shared" si="3"/>
        <v>170.17856831100613</v>
      </c>
      <c r="J15">
        <f t="shared" si="4"/>
        <v>-112.75809156258879</v>
      </c>
      <c r="K15">
        <f t="shared" si="5"/>
        <v>243.26220492241418</v>
      </c>
      <c r="L15">
        <f t="shared" si="6"/>
        <v>-145.29702300865281</v>
      </c>
      <c r="M15">
        <f t="shared" si="7"/>
        <v>104</v>
      </c>
      <c r="N15">
        <f t="shared" si="8"/>
        <v>233</v>
      </c>
      <c r="O15">
        <f t="shared" si="9"/>
        <v>243</v>
      </c>
      <c r="P15">
        <f t="shared" si="10"/>
        <v>119</v>
      </c>
    </row>
    <row r="16" spans="2:16" x14ac:dyDescent="0.15">
      <c r="B16">
        <v>12</v>
      </c>
      <c r="C16">
        <f t="shared" si="0"/>
        <v>1.2566370614359172</v>
      </c>
      <c r="D16">
        <f t="shared" si="1"/>
        <v>0.30901699437494745</v>
      </c>
      <c r="E16">
        <f t="shared" si="2"/>
        <v>0.95105651629515353</v>
      </c>
      <c r="F16">
        <v>256</v>
      </c>
      <c r="G16">
        <v>80</v>
      </c>
      <c r="H16">
        <v>192</v>
      </c>
      <c r="I16">
        <f t="shared" si="3"/>
        <v>190.7974141868861</v>
      </c>
      <c r="J16">
        <f t="shared" si="4"/>
        <v>-120.67292493827739</v>
      </c>
      <c r="K16">
        <f t="shared" si="5"/>
        <v>266.88193549049839</v>
      </c>
      <c r="L16">
        <f t="shared" si="6"/>
        <v>-145.39428448827317</v>
      </c>
      <c r="M16">
        <f t="shared" si="7"/>
        <v>79</v>
      </c>
      <c r="N16">
        <f t="shared" si="8"/>
        <v>243</v>
      </c>
      <c r="O16">
        <f t="shared" si="9"/>
        <v>266</v>
      </c>
      <c r="P16">
        <f t="shared" si="10"/>
        <v>119</v>
      </c>
    </row>
    <row r="17" spans="2:16" x14ac:dyDescent="0.15">
      <c r="B17">
        <v>13</v>
      </c>
      <c r="C17">
        <f t="shared" si="0"/>
        <v>1.3613568165555772</v>
      </c>
      <c r="D17">
        <f t="shared" si="1"/>
        <v>0.20791169081775923</v>
      </c>
      <c r="E17">
        <f t="shared" si="2"/>
        <v>0.97814760073380569</v>
      </c>
      <c r="F17">
        <v>256</v>
      </c>
      <c r="G17">
        <v>80</v>
      </c>
      <c r="H17">
        <v>192</v>
      </c>
      <c r="I17">
        <f t="shared" si="3"/>
        <v>212.1306332374528</v>
      </c>
      <c r="J17">
        <f t="shared" si="4"/>
        <v>-126.38914375483301</v>
      </c>
      <c r="K17">
        <f t="shared" si="5"/>
        <v>290.38244129615725</v>
      </c>
      <c r="L17">
        <f t="shared" si="6"/>
        <v>-143.02207902025376</v>
      </c>
      <c r="M17">
        <f t="shared" si="7"/>
        <v>53</v>
      </c>
      <c r="N17">
        <f t="shared" si="8"/>
        <v>250</v>
      </c>
      <c r="O17">
        <f t="shared" si="9"/>
        <v>290</v>
      </c>
      <c r="P17">
        <f t="shared" si="10"/>
        <v>120</v>
      </c>
    </row>
    <row r="18" spans="2:16" x14ac:dyDescent="0.15">
      <c r="B18">
        <v>14</v>
      </c>
      <c r="C18">
        <f t="shared" si="0"/>
        <v>1.4660765716752369</v>
      </c>
      <c r="D18">
        <f t="shared" si="1"/>
        <v>0.10452846326765346</v>
      </c>
      <c r="E18">
        <f t="shared" si="2"/>
        <v>0.99452189536827329</v>
      </c>
      <c r="F18">
        <v>256</v>
      </c>
      <c r="G18">
        <v>80</v>
      </c>
      <c r="H18">
        <v>192</v>
      </c>
      <c r="I18">
        <f t="shared" si="3"/>
        <v>233.94449425052511</v>
      </c>
      <c r="J18">
        <f t="shared" si="4"/>
        <v>-129.84411992270566</v>
      </c>
      <c r="K18">
        <f t="shared" si="5"/>
        <v>313.50624587998698</v>
      </c>
      <c r="L18">
        <f t="shared" si="6"/>
        <v>-138.20639698411793</v>
      </c>
      <c r="M18">
        <f t="shared" si="7"/>
        <v>26</v>
      </c>
      <c r="N18">
        <f t="shared" si="8"/>
        <v>254</v>
      </c>
      <c r="O18">
        <f t="shared" si="9"/>
        <v>313</v>
      </c>
      <c r="P18">
        <f t="shared" si="10"/>
        <v>122</v>
      </c>
    </row>
    <row r="19" spans="2:16" x14ac:dyDescent="0.15">
      <c r="B19">
        <v>15</v>
      </c>
      <c r="C19">
        <f t="shared" si="0"/>
        <v>1.5707963267948963</v>
      </c>
      <c r="D19">
        <f t="shared" si="1"/>
        <v>2.8330202767046231E-16</v>
      </c>
      <c r="E19">
        <f t="shared" si="2"/>
        <v>1</v>
      </c>
      <c r="F19">
        <v>256</v>
      </c>
      <c r="G19">
        <v>80</v>
      </c>
      <c r="H19">
        <v>192</v>
      </c>
      <c r="I19">
        <f t="shared" si="3"/>
        <v>255.99999999999994</v>
      </c>
      <c r="J19">
        <f t="shared" si="4"/>
        <v>-131</v>
      </c>
      <c r="K19">
        <f t="shared" si="5"/>
        <v>335.99999999999994</v>
      </c>
      <c r="L19">
        <f t="shared" si="6"/>
        <v>-131.00000000000003</v>
      </c>
      <c r="M19">
        <f t="shared" si="7"/>
        <v>0</v>
      </c>
      <c r="N19">
        <f t="shared" si="8"/>
        <v>256</v>
      </c>
      <c r="O19">
        <f t="shared" si="9"/>
        <v>336</v>
      </c>
      <c r="P19">
        <f t="shared" si="10"/>
        <v>126</v>
      </c>
    </row>
    <row r="20" spans="2:16" x14ac:dyDescent="0.15">
      <c r="B20">
        <v>16</v>
      </c>
      <c r="C20">
        <f t="shared" si="0"/>
        <v>1.6755160819145563</v>
      </c>
      <c r="D20">
        <f t="shared" si="1"/>
        <v>-0.10452846326765333</v>
      </c>
      <c r="E20">
        <f t="shared" si="2"/>
        <v>0.9945218953682734</v>
      </c>
      <c r="F20">
        <v>256</v>
      </c>
      <c r="G20">
        <v>80</v>
      </c>
      <c r="H20">
        <v>192</v>
      </c>
      <c r="I20">
        <f t="shared" si="3"/>
        <v>278.05550574947483</v>
      </c>
      <c r="J20">
        <f t="shared" si="4"/>
        <v>-129.84411992270569</v>
      </c>
      <c r="K20">
        <f t="shared" si="5"/>
        <v>357.6172573789367</v>
      </c>
      <c r="L20">
        <f t="shared" si="6"/>
        <v>-121.48184286129342</v>
      </c>
      <c r="M20">
        <f t="shared" si="7"/>
        <v>-27</v>
      </c>
      <c r="N20">
        <f t="shared" si="8"/>
        <v>254</v>
      </c>
      <c r="O20">
        <f t="shared" si="9"/>
        <v>357</v>
      </c>
      <c r="P20">
        <f t="shared" si="10"/>
        <v>131</v>
      </c>
    </row>
    <row r="21" spans="2:16" x14ac:dyDescent="0.15">
      <c r="B21">
        <v>17</v>
      </c>
      <c r="C21">
        <f t="shared" si="0"/>
        <v>1.7802358370342162</v>
      </c>
      <c r="D21">
        <f t="shared" si="1"/>
        <v>-0.20791169081775934</v>
      </c>
      <c r="E21">
        <f t="shared" si="2"/>
        <v>0.97814760073380569</v>
      </c>
      <c r="F21">
        <v>256</v>
      </c>
      <c r="G21">
        <v>80</v>
      </c>
      <c r="H21">
        <v>192</v>
      </c>
      <c r="I21">
        <f t="shared" si="3"/>
        <v>299.8693667625472</v>
      </c>
      <c r="J21">
        <f t="shared" si="4"/>
        <v>-126.38914375483301</v>
      </c>
      <c r="K21">
        <f t="shared" si="5"/>
        <v>378.12117482125166</v>
      </c>
      <c r="L21">
        <f t="shared" si="6"/>
        <v>-109.75620848941227</v>
      </c>
      <c r="M21">
        <f t="shared" si="7"/>
        <v>-54</v>
      </c>
      <c r="N21">
        <f t="shared" si="8"/>
        <v>250</v>
      </c>
      <c r="O21">
        <f t="shared" si="9"/>
        <v>378</v>
      </c>
      <c r="P21">
        <f t="shared" si="10"/>
        <v>137</v>
      </c>
    </row>
    <row r="22" spans="2:16" x14ac:dyDescent="0.15">
      <c r="B22">
        <v>18</v>
      </c>
      <c r="C22">
        <f t="shared" si="0"/>
        <v>1.8849555921538759</v>
      </c>
      <c r="D22">
        <f t="shared" si="1"/>
        <v>-0.30901699437494734</v>
      </c>
      <c r="E22">
        <f t="shared" si="2"/>
        <v>0.95105651629515364</v>
      </c>
      <c r="F22">
        <v>256</v>
      </c>
      <c r="G22">
        <v>80</v>
      </c>
      <c r="H22">
        <v>192</v>
      </c>
      <c r="I22">
        <f t="shared" si="3"/>
        <v>321.2025858131139</v>
      </c>
      <c r="J22">
        <f t="shared" si="4"/>
        <v>-120.67292493827742</v>
      </c>
      <c r="K22">
        <f t="shared" si="5"/>
        <v>397.28710711672619</v>
      </c>
      <c r="L22">
        <f t="shared" si="6"/>
        <v>-95.951565388281637</v>
      </c>
      <c r="M22">
        <f t="shared" si="7"/>
        <v>-80</v>
      </c>
      <c r="N22">
        <f t="shared" si="8"/>
        <v>243</v>
      </c>
      <c r="O22">
        <f t="shared" si="9"/>
        <v>397</v>
      </c>
      <c r="P22">
        <f t="shared" si="10"/>
        <v>144</v>
      </c>
    </row>
    <row r="23" spans="2:16" x14ac:dyDescent="0.15">
      <c r="B23">
        <v>19</v>
      </c>
      <c r="C23">
        <f t="shared" si="0"/>
        <v>1.9896753472735356</v>
      </c>
      <c r="D23">
        <f t="shared" si="1"/>
        <v>-0.40673664307580004</v>
      </c>
      <c r="E23">
        <f t="shared" si="2"/>
        <v>0.91354545764260098</v>
      </c>
      <c r="F23">
        <v>256</v>
      </c>
      <c r="G23">
        <v>80</v>
      </c>
      <c r="H23">
        <v>192</v>
      </c>
      <c r="I23">
        <f t="shared" si="3"/>
        <v>341.82143168899381</v>
      </c>
      <c r="J23">
        <f t="shared" si="4"/>
        <v>-112.75809156258882</v>
      </c>
      <c r="K23">
        <f t="shared" si="5"/>
        <v>414.90506830040192</v>
      </c>
      <c r="L23">
        <f t="shared" si="6"/>
        <v>-80.219160116524819</v>
      </c>
      <c r="M23">
        <f t="shared" si="7"/>
        <v>-105</v>
      </c>
      <c r="N23">
        <f t="shared" si="8"/>
        <v>233</v>
      </c>
      <c r="O23">
        <f t="shared" si="9"/>
        <v>414</v>
      </c>
      <c r="P23">
        <f t="shared" si="10"/>
        <v>151</v>
      </c>
    </row>
    <row r="24" spans="2:16" x14ac:dyDescent="0.15">
      <c r="B24">
        <v>20</v>
      </c>
      <c r="C24">
        <f t="shared" si="0"/>
        <v>2.0943951023931953</v>
      </c>
      <c r="D24">
        <f t="shared" si="1"/>
        <v>-0.49999999999999978</v>
      </c>
      <c r="E24">
        <f t="shared" si="2"/>
        <v>0.86602540378443871</v>
      </c>
      <c r="F24">
        <v>256</v>
      </c>
      <c r="G24">
        <v>80</v>
      </c>
      <c r="H24">
        <v>192</v>
      </c>
      <c r="I24">
        <f t="shared" si="3"/>
        <v>361.49999999999994</v>
      </c>
      <c r="J24">
        <f t="shared" si="4"/>
        <v>-102.73136019851657</v>
      </c>
      <c r="K24">
        <f t="shared" si="5"/>
        <v>430.78203230275506</v>
      </c>
      <c r="L24">
        <f t="shared" si="6"/>
        <v>-62.731360198516583</v>
      </c>
      <c r="M24">
        <f t="shared" si="7"/>
        <v>-128</v>
      </c>
      <c r="N24">
        <f t="shared" si="8"/>
        <v>221</v>
      </c>
      <c r="O24">
        <f t="shared" si="9"/>
        <v>430</v>
      </c>
      <c r="P24">
        <f t="shared" si="10"/>
        <v>160</v>
      </c>
    </row>
    <row r="25" spans="2:16" x14ac:dyDescent="0.15">
      <c r="B25">
        <v>21</v>
      </c>
      <c r="C25">
        <f t="shared" si="0"/>
        <v>2.1991148575128552</v>
      </c>
      <c r="D25">
        <f t="shared" si="1"/>
        <v>-0.58778525229247303</v>
      </c>
      <c r="E25">
        <f t="shared" si="2"/>
        <v>0.80901699437494745</v>
      </c>
      <c r="F25">
        <v>256</v>
      </c>
      <c r="G25">
        <v>80</v>
      </c>
      <c r="H25">
        <v>192</v>
      </c>
      <c r="I25">
        <f t="shared" si="3"/>
        <v>380.02268823371179</v>
      </c>
      <c r="J25">
        <f t="shared" si="4"/>
        <v>-90.702585813113899</v>
      </c>
      <c r="K25">
        <f t="shared" si="5"/>
        <v>444.74404778370757</v>
      </c>
      <c r="L25">
        <f t="shared" si="6"/>
        <v>-43.679765629716059</v>
      </c>
      <c r="M25">
        <f t="shared" si="7"/>
        <v>-151</v>
      </c>
      <c r="N25">
        <f t="shared" si="8"/>
        <v>207</v>
      </c>
      <c r="O25">
        <f t="shared" si="9"/>
        <v>444</v>
      </c>
      <c r="P25">
        <f t="shared" si="10"/>
        <v>170</v>
      </c>
    </row>
    <row r="26" spans="2:16" x14ac:dyDescent="0.15">
      <c r="B26">
        <v>22</v>
      </c>
      <c r="C26">
        <f t="shared" si="0"/>
        <v>2.3038346126325147</v>
      </c>
      <c r="D26">
        <f t="shared" si="1"/>
        <v>-0.6691306063588579</v>
      </c>
      <c r="E26">
        <f t="shared" si="2"/>
        <v>0.74314482547739447</v>
      </c>
      <c r="F26">
        <v>256</v>
      </c>
      <c r="G26">
        <v>80</v>
      </c>
      <c r="H26">
        <v>192</v>
      </c>
      <c r="I26">
        <f t="shared" si="3"/>
        <v>397.186557941719</v>
      </c>
      <c r="J26">
        <f t="shared" si="4"/>
        <v>-76.803558175730245</v>
      </c>
      <c r="K26">
        <f t="shared" si="5"/>
        <v>456.63814397991058</v>
      </c>
      <c r="L26">
        <f t="shared" si="6"/>
        <v>-23.273109667021615</v>
      </c>
      <c r="M26">
        <f t="shared" si="7"/>
        <v>-172</v>
      </c>
      <c r="N26">
        <f t="shared" si="8"/>
        <v>190</v>
      </c>
      <c r="O26">
        <f t="shared" si="9"/>
        <v>456</v>
      </c>
      <c r="P26">
        <f t="shared" si="10"/>
        <v>180</v>
      </c>
    </row>
    <row r="27" spans="2:16" x14ac:dyDescent="0.15">
      <c r="B27">
        <v>23</v>
      </c>
      <c r="C27">
        <f t="shared" si="0"/>
        <v>2.4085543677521746</v>
      </c>
      <c r="D27">
        <f t="shared" si="1"/>
        <v>-0.74314482547739402</v>
      </c>
      <c r="E27">
        <f t="shared" si="2"/>
        <v>0.66913060635885835</v>
      </c>
      <c r="F27">
        <v>256</v>
      </c>
      <c r="G27">
        <v>80</v>
      </c>
      <c r="H27">
        <v>192</v>
      </c>
      <c r="I27">
        <f t="shared" si="3"/>
        <v>412.80355817573013</v>
      </c>
      <c r="J27">
        <f t="shared" si="4"/>
        <v>-61.186557941719116</v>
      </c>
      <c r="K27">
        <f t="shared" si="5"/>
        <v>466.3340066844388</v>
      </c>
      <c r="L27">
        <f t="shared" si="6"/>
        <v>-1.7349719035275939</v>
      </c>
      <c r="M27">
        <f t="shared" si="7"/>
        <v>-191</v>
      </c>
      <c r="N27">
        <f t="shared" si="8"/>
        <v>171</v>
      </c>
      <c r="O27">
        <f t="shared" si="9"/>
        <v>466</v>
      </c>
      <c r="P27">
        <f t="shared" si="10"/>
        <v>191</v>
      </c>
    </row>
    <row r="28" spans="2:16" x14ac:dyDescent="0.15">
      <c r="B28">
        <v>24</v>
      </c>
      <c r="C28">
        <f t="shared" si="0"/>
        <v>2.5132741228718345</v>
      </c>
      <c r="D28">
        <f t="shared" si="1"/>
        <v>-0.80901699437494734</v>
      </c>
      <c r="E28">
        <f t="shared" si="2"/>
        <v>0.58778525229247325</v>
      </c>
      <c r="F28">
        <v>256</v>
      </c>
      <c r="G28">
        <v>80</v>
      </c>
      <c r="H28">
        <v>192</v>
      </c>
      <c r="I28">
        <f t="shared" si="3"/>
        <v>426.7025858131139</v>
      </c>
      <c r="J28">
        <f t="shared" si="4"/>
        <v>-44.022688233711861</v>
      </c>
      <c r="K28">
        <f t="shared" si="5"/>
        <v>473.72540599651177</v>
      </c>
      <c r="L28">
        <f t="shared" si="6"/>
        <v>20.698671316283921</v>
      </c>
      <c r="M28">
        <f t="shared" si="7"/>
        <v>-208</v>
      </c>
      <c r="N28">
        <f t="shared" si="8"/>
        <v>150</v>
      </c>
      <c r="O28">
        <f t="shared" si="9"/>
        <v>473</v>
      </c>
      <c r="P28">
        <f t="shared" si="10"/>
        <v>202</v>
      </c>
    </row>
    <row r="29" spans="2:16" x14ac:dyDescent="0.15">
      <c r="B29">
        <v>25</v>
      </c>
      <c r="C29">
        <f t="shared" si="0"/>
        <v>2.6179938779914944</v>
      </c>
      <c r="D29">
        <f t="shared" si="1"/>
        <v>-0.86602540378443871</v>
      </c>
      <c r="E29">
        <f t="shared" si="2"/>
        <v>0.49999999999999994</v>
      </c>
      <c r="F29">
        <v>256</v>
      </c>
      <c r="G29">
        <v>80</v>
      </c>
      <c r="H29">
        <v>192</v>
      </c>
      <c r="I29">
        <f t="shared" si="3"/>
        <v>438.73136019851654</v>
      </c>
      <c r="J29">
        <f t="shared" si="4"/>
        <v>-25.499999999999986</v>
      </c>
      <c r="K29">
        <f t="shared" si="5"/>
        <v>478.73136019851654</v>
      </c>
      <c r="L29">
        <f t="shared" si="6"/>
        <v>43.782032302755113</v>
      </c>
      <c r="M29">
        <f t="shared" si="7"/>
        <v>-222</v>
      </c>
      <c r="N29">
        <f t="shared" si="8"/>
        <v>128</v>
      </c>
      <c r="O29">
        <f t="shared" si="9"/>
        <v>478</v>
      </c>
      <c r="P29">
        <f t="shared" si="10"/>
        <v>213</v>
      </c>
    </row>
    <row r="30" spans="2:16" x14ac:dyDescent="0.15">
      <c r="B30">
        <v>26</v>
      </c>
      <c r="C30">
        <f t="shared" si="0"/>
        <v>2.7227136331111543</v>
      </c>
      <c r="D30">
        <f t="shared" si="1"/>
        <v>-0.91354545764260098</v>
      </c>
      <c r="E30">
        <f t="shared" si="2"/>
        <v>0.40673664307580004</v>
      </c>
      <c r="F30">
        <v>256</v>
      </c>
      <c r="G30">
        <v>80</v>
      </c>
      <c r="H30">
        <v>192</v>
      </c>
      <c r="I30">
        <f t="shared" si="3"/>
        <v>448.75809156258879</v>
      </c>
      <c r="J30">
        <f t="shared" si="4"/>
        <v>-5.8214316889938118</v>
      </c>
      <c r="K30">
        <f t="shared" si="5"/>
        <v>481.29702300865279</v>
      </c>
      <c r="L30">
        <f t="shared" si="6"/>
        <v>67.26220492241427</v>
      </c>
      <c r="M30">
        <f t="shared" si="7"/>
        <v>-234</v>
      </c>
      <c r="N30">
        <f t="shared" si="8"/>
        <v>104</v>
      </c>
      <c r="O30">
        <f t="shared" si="9"/>
        <v>481</v>
      </c>
      <c r="P30">
        <f t="shared" si="10"/>
        <v>225</v>
      </c>
    </row>
    <row r="31" spans="2:16" x14ac:dyDescent="0.15">
      <c r="B31">
        <v>27</v>
      </c>
      <c r="C31">
        <f t="shared" si="0"/>
        <v>2.8274333882308138</v>
      </c>
      <c r="D31">
        <f t="shared" si="1"/>
        <v>-0.95105651629515353</v>
      </c>
      <c r="E31">
        <f t="shared" si="2"/>
        <v>0.30901699437494751</v>
      </c>
      <c r="F31">
        <v>256</v>
      </c>
      <c r="G31">
        <v>80</v>
      </c>
      <c r="H31">
        <v>192</v>
      </c>
      <c r="I31">
        <f t="shared" si="3"/>
        <v>456.67292493827739</v>
      </c>
      <c r="J31">
        <f t="shared" si="4"/>
        <v>14.797414186886073</v>
      </c>
      <c r="K31">
        <f t="shared" si="5"/>
        <v>481.39428448827317</v>
      </c>
      <c r="L31">
        <f t="shared" si="6"/>
        <v>90.88193549049835</v>
      </c>
      <c r="M31">
        <f t="shared" si="7"/>
        <v>-244</v>
      </c>
      <c r="N31">
        <f t="shared" si="8"/>
        <v>79</v>
      </c>
      <c r="O31">
        <f t="shared" si="9"/>
        <v>481</v>
      </c>
      <c r="P31">
        <f t="shared" si="10"/>
        <v>237</v>
      </c>
    </row>
    <row r="32" spans="2:16" x14ac:dyDescent="0.15">
      <c r="B32">
        <v>28</v>
      </c>
      <c r="C32">
        <f t="shared" si="0"/>
        <v>2.9321531433504737</v>
      </c>
      <c r="D32">
        <f t="shared" si="1"/>
        <v>-0.97814760073380569</v>
      </c>
      <c r="E32">
        <f t="shared" si="2"/>
        <v>0.20791169081775931</v>
      </c>
      <c r="F32">
        <v>256</v>
      </c>
      <c r="G32">
        <v>80</v>
      </c>
      <c r="H32">
        <v>192</v>
      </c>
      <c r="I32">
        <f t="shared" si="3"/>
        <v>462.38914375483301</v>
      </c>
      <c r="J32">
        <f t="shared" si="4"/>
        <v>36.130633237452784</v>
      </c>
      <c r="K32">
        <f t="shared" si="5"/>
        <v>479.02207902025378</v>
      </c>
      <c r="L32">
        <f t="shared" si="6"/>
        <v>114.38244129615724</v>
      </c>
      <c r="M32">
        <f t="shared" si="7"/>
        <v>-251</v>
      </c>
      <c r="N32">
        <f t="shared" si="8"/>
        <v>53</v>
      </c>
      <c r="O32">
        <f t="shared" si="9"/>
        <v>479</v>
      </c>
      <c r="P32">
        <f t="shared" si="10"/>
        <v>249</v>
      </c>
    </row>
    <row r="33" spans="2:16" x14ac:dyDescent="0.15">
      <c r="B33">
        <v>29</v>
      </c>
      <c r="C33">
        <f t="shared" si="0"/>
        <v>3.0368728984701336</v>
      </c>
      <c r="D33">
        <f t="shared" si="1"/>
        <v>-0.9945218953682734</v>
      </c>
      <c r="E33">
        <f t="shared" si="2"/>
        <v>0.10452846326765329</v>
      </c>
      <c r="F33">
        <v>256</v>
      </c>
      <c r="G33">
        <v>80</v>
      </c>
      <c r="H33">
        <v>192</v>
      </c>
      <c r="I33">
        <f t="shared" si="3"/>
        <v>465.84411992270566</v>
      </c>
      <c r="J33">
        <f t="shared" si="4"/>
        <v>57.944494250525153</v>
      </c>
      <c r="K33">
        <f t="shared" si="5"/>
        <v>474.20639698411793</v>
      </c>
      <c r="L33">
        <f t="shared" si="6"/>
        <v>137.50624587998703</v>
      </c>
      <c r="M33">
        <f t="shared" si="7"/>
        <v>-255</v>
      </c>
      <c r="N33">
        <f t="shared" si="8"/>
        <v>26</v>
      </c>
      <c r="O33">
        <f t="shared" si="9"/>
        <v>474</v>
      </c>
      <c r="P33">
        <f t="shared" si="10"/>
        <v>260</v>
      </c>
    </row>
    <row r="34" spans="2:16" x14ac:dyDescent="0.15">
      <c r="B34">
        <v>30</v>
      </c>
      <c r="C34">
        <f t="shared" si="0"/>
        <v>3.1415926535897927</v>
      </c>
      <c r="D34">
        <f t="shared" si="1"/>
        <v>-1</v>
      </c>
      <c r="E34">
        <f t="shared" si="2"/>
        <v>5.6660405534092462E-16</v>
      </c>
      <c r="F34">
        <v>256</v>
      </c>
      <c r="G34">
        <v>80</v>
      </c>
      <c r="H34">
        <v>192</v>
      </c>
      <c r="I34">
        <f t="shared" si="3"/>
        <v>467</v>
      </c>
      <c r="J34">
        <f t="shared" si="4"/>
        <v>79.999999999999886</v>
      </c>
      <c r="K34">
        <f t="shared" si="5"/>
        <v>467.00000000000006</v>
      </c>
      <c r="L34">
        <f t="shared" si="6"/>
        <v>159.99999999999989</v>
      </c>
      <c r="M34">
        <f t="shared" si="7"/>
        <v>-256</v>
      </c>
      <c r="N34">
        <f t="shared" si="8"/>
        <v>0</v>
      </c>
      <c r="O34">
        <f t="shared" si="9"/>
        <v>467</v>
      </c>
      <c r="P34">
        <f t="shared" si="10"/>
        <v>271</v>
      </c>
    </row>
    <row r="35" spans="2:16" x14ac:dyDescent="0.15">
      <c r="B35">
        <v>31</v>
      </c>
      <c r="C35">
        <f t="shared" si="0"/>
        <v>3.2463124087094526</v>
      </c>
      <c r="D35">
        <f t="shared" si="1"/>
        <v>-0.9945218953682734</v>
      </c>
      <c r="E35">
        <f t="shared" si="2"/>
        <v>-0.10452846326765305</v>
      </c>
      <c r="F35">
        <v>256</v>
      </c>
      <c r="G35">
        <v>80</v>
      </c>
      <c r="H35">
        <v>192</v>
      </c>
      <c r="I35">
        <f t="shared" si="3"/>
        <v>465.84411992270566</v>
      </c>
      <c r="J35">
        <f t="shared" si="4"/>
        <v>102.05550574947479</v>
      </c>
      <c r="K35">
        <f t="shared" si="5"/>
        <v>457.48184286129339</v>
      </c>
      <c r="L35">
        <f t="shared" si="6"/>
        <v>181.61725737893664</v>
      </c>
      <c r="M35">
        <f t="shared" si="7"/>
        <v>-255</v>
      </c>
      <c r="N35">
        <f t="shared" si="8"/>
        <v>-27</v>
      </c>
      <c r="O35">
        <f t="shared" si="9"/>
        <v>457</v>
      </c>
      <c r="P35">
        <f t="shared" si="10"/>
        <v>282</v>
      </c>
    </row>
    <row r="36" spans="2:16" x14ac:dyDescent="0.15">
      <c r="B36">
        <v>32</v>
      </c>
      <c r="C36">
        <f t="shared" si="0"/>
        <v>3.3510321638291125</v>
      </c>
      <c r="D36">
        <f t="shared" si="1"/>
        <v>-0.97814760073380569</v>
      </c>
      <c r="E36">
        <f t="shared" si="2"/>
        <v>-0.20791169081775907</v>
      </c>
      <c r="F36">
        <v>256</v>
      </c>
      <c r="G36">
        <v>80</v>
      </c>
      <c r="H36">
        <v>192</v>
      </c>
      <c r="I36">
        <f t="shared" si="3"/>
        <v>462.38914375483301</v>
      </c>
      <c r="J36">
        <f t="shared" si="4"/>
        <v>123.86936676254717</v>
      </c>
      <c r="K36">
        <f t="shared" si="5"/>
        <v>445.7562084894123</v>
      </c>
      <c r="L36">
        <f t="shared" si="6"/>
        <v>202.12117482125163</v>
      </c>
      <c r="M36">
        <f t="shared" si="7"/>
        <v>-251</v>
      </c>
      <c r="N36">
        <f t="shared" si="8"/>
        <v>-54</v>
      </c>
      <c r="O36">
        <f t="shared" si="9"/>
        <v>445</v>
      </c>
      <c r="P36">
        <f t="shared" si="10"/>
        <v>293</v>
      </c>
    </row>
    <row r="37" spans="2:16" x14ac:dyDescent="0.15">
      <c r="B37">
        <v>33</v>
      </c>
      <c r="C37">
        <f t="shared" si="0"/>
        <v>3.4557519189487724</v>
      </c>
      <c r="D37">
        <f t="shared" si="1"/>
        <v>-0.95105651629515364</v>
      </c>
      <c r="E37">
        <f t="shared" si="2"/>
        <v>-0.30901699437494728</v>
      </c>
      <c r="F37">
        <v>256</v>
      </c>
      <c r="G37">
        <v>80</v>
      </c>
      <c r="H37">
        <v>192</v>
      </c>
      <c r="I37">
        <f t="shared" si="3"/>
        <v>456.67292493827745</v>
      </c>
      <c r="J37">
        <f t="shared" si="4"/>
        <v>145.20258581311387</v>
      </c>
      <c r="K37">
        <f t="shared" si="5"/>
        <v>431.95156538828167</v>
      </c>
      <c r="L37">
        <f t="shared" si="6"/>
        <v>221.28710711672616</v>
      </c>
      <c r="M37">
        <f t="shared" si="7"/>
        <v>-244</v>
      </c>
      <c r="N37">
        <f t="shared" si="8"/>
        <v>-80</v>
      </c>
      <c r="O37">
        <f t="shared" si="9"/>
        <v>431</v>
      </c>
      <c r="P37">
        <f t="shared" si="10"/>
        <v>302</v>
      </c>
    </row>
    <row r="38" spans="2:16" x14ac:dyDescent="0.15">
      <c r="B38">
        <v>34</v>
      </c>
      <c r="C38">
        <f t="shared" si="0"/>
        <v>3.5604716740684323</v>
      </c>
      <c r="D38">
        <f t="shared" si="1"/>
        <v>-0.91354545764260087</v>
      </c>
      <c r="E38">
        <f t="shared" si="2"/>
        <v>-0.40673664307580021</v>
      </c>
      <c r="F38">
        <v>256</v>
      </c>
      <c r="G38">
        <v>80</v>
      </c>
      <c r="H38">
        <v>192</v>
      </c>
      <c r="I38">
        <f t="shared" si="3"/>
        <v>448.75809156258879</v>
      </c>
      <c r="J38">
        <f t="shared" si="4"/>
        <v>165.82143168899384</v>
      </c>
      <c r="K38">
        <f t="shared" si="5"/>
        <v>416.21916011652479</v>
      </c>
      <c r="L38">
        <f t="shared" si="6"/>
        <v>238.90506830040192</v>
      </c>
      <c r="M38">
        <f t="shared" si="7"/>
        <v>-234</v>
      </c>
      <c r="N38">
        <f t="shared" si="8"/>
        <v>-105</v>
      </c>
      <c r="O38">
        <f t="shared" si="9"/>
        <v>416</v>
      </c>
      <c r="P38">
        <f t="shared" si="10"/>
        <v>311</v>
      </c>
    </row>
    <row r="39" spans="2:16" x14ac:dyDescent="0.15">
      <c r="B39">
        <v>35</v>
      </c>
      <c r="C39">
        <f t="shared" si="0"/>
        <v>3.6651914291880918</v>
      </c>
      <c r="D39">
        <f t="shared" si="1"/>
        <v>-0.86602540378443882</v>
      </c>
      <c r="E39">
        <f t="shared" si="2"/>
        <v>-0.49999999999999972</v>
      </c>
      <c r="F39">
        <v>256</v>
      </c>
      <c r="G39">
        <v>80</v>
      </c>
      <c r="H39">
        <v>192</v>
      </c>
      <c r="I39">
        <f t="shared" si="3"/>
        <v>438.7313601985166</v>
      </c>
      <c r="J39">
        <f t="shared" si="4"/>
        <v>185.49999999999994</v>
      </c>
      <c r="K39">
        <f t="shared" si="5"/>
        <v>398.7313601985166</v>
      </c>
      <c r="L39">
        <f t="shared" si="6"/>
        <v>254.78203230275506</v>
      </c>
      <c r="M39">
        <f t="shared" si="7"/>
        <v>-222</v>
      </c>
      <c r="N39">
        <f t="shared" si="8"/>
        <v>-128</v>
      </c>
      <c r="O39">
        <f t="shared" si="9"/>
        <v>398</v>
      </c>
      <c r="P39">
        <f t="shared" si="10"/>
        <v>319</v>
      </c>
    </row>
    <row r="40" spans="2:16" x14ac:dyDescent="0.15">
      <c r="B40">
        <v>36</v>
      </c>
      <c r="C40">
        <f t="shared" si="0"/>
        <v>3.7699111843077517</v>
      </c>
      <c r="D40">
        <f t="shared" si="1"/>
        <v>-0.80901699437494756</v>
      </c>
      <c r="E40">
        <f t="shared" si="2"/>
        <v>-0.58778525229247303</v>
      </c>
      <c r="F40">
        <v>256</v>
      </c>
      <c r="G40">
        <v>80</v>
      </c>
      <c r="H40">
        <v>192</v>
      </c>
      <c r="I40">
        <f t="shared" si="3"/>
        <v>426.70258581311396</v>
      </c>
      <c r="J40">
        <f t="shared" si="4"/>
        <v>204.02268823371179</v>
      </c>
      <c r="K40">
        <f t="shared" si="5"/>
        <v>379.67976562971614</v>
      </c>
      <c r="L40">
        <f t="shared" si="6"/>
        <v>268.74404778370763</v>
      </c>
      <c r="M40">
        <f t="shared" si="7"/>
        <v>-208</v>
      </c>
      <c r="N40">
        <f t="shared" si="8"/>
        <v>-151</v>
      </c>
      <c r="O40">
        <f t="shared" si="9"/>
        <v>379</v>
      </c>
      <c r="P40">
        <f t="shared" si="10"/>
        <v>326</v>
      </c>
    </row>
    <row r="41" spans="2:16" x14ac:dyDescent="0.15">
      <c r="B41">
        <v>37</v>
      </c>
      <c r="C41">
        <f t="shared" si="0"/>
        <v>3.8746309394274117</v>
      </c>
      <c r="D41">
        <f t="shared" si="1"/>
        <v>-0.74314482547739424</v>
      </c>
      <c r="E41">
        <f t="shared" si="2"/>
        <v>-0.66913060635885824</v>
      </c>
      <c r="F41">
        <v>256</v>
      </c>
      <c r="G41">
        <v>80</v>
      </c>
      <c r="H41">
        <v>192</v>
      </c>
      <c r="I41">
        <f t="shared" si="3"/>
        <v>412.80355817573019</v>
      </c>
      <c r="J41">
        <f t="shared" si="4"/>
        <v>221.18655794171909</v>
      </c>
      <c r="K41">
        <f t="shared" si="5"/>
        <v>359.27310966702152</v>
      </c>
      <c r="L41">
        <f t="shared" si="6"/>
        <v>280.63814397991064</v>
      </c>
      <c r="M41">
        <f t="shared" si="7"/>
        <v>-191</v>
      </c>
      <c r="N41">
        <f t="shared" si="8"/>
        <v>-172</v>
      </c>
      <c r="O41">
        <f t="shared" si="9"/>
        <v>359</v>
      </c>
      <c r="P41">
        <f t="shared" si="10"/>
        <v>332</v>
      </c>
    </row>
    <row r="42" spans="2:16" x14ac:dyDescent="0.15">
      <c r="B42">
        <v>38</v>
      </c>
      <c r="C42">
        <f t="shared" si="0"/>
        <v>3.9793506945470711</v>
      </c>
      <c r="D42">
        <f t="shared" si="1"/>
        <v>-0.66913060635885846</v>
      </c>
      <c r="E42">
        <f t="shared" si="2"/>
        <v>-0.74314482547739402</v>
      </c>
      <c r="F42">
        <v>256</v>
      </c>
      <c r="G42">
        <v>80</v>
      </c>
      <c r="H42">
        <v>192</v>
      </c>
      <c r="I42">
        <f t="shared" si="3"/>
        <v>397.18655794171912</v>
      </c>
      <c r="J42">
        <f t="shared" si="4"/>
        <v>236.80355817573013</v>
      </c>
      <c r="K42">
        <f t="shared" si="5"/>
        <v>337.73497190352759</v>
      </c>
      <c r="L42">
        <f t="shared" si="6"/>
        <v>290.3340066844388</v>
      </c>
      <c r="M42">
        <f t="shared" si="7"/>
        <v>-172</v>
      </c>
      <c r="N42">
        <f t="shared" si="8"/>
        <v>-191</v>
      </c>
      <c r="O42">
        <f t="shared" si="9"/>
        <v>337</v>
      </c>
      <c r="P42">
        <f t="shared" si="10"/>
        <v>337</v>
      </c>
    </row>
    <row r="43" spans="2:16" x14ac:dyDescent="0.15">
      <c r="B43">
        <v>39</v>
      </c>
      <c r="C43">
        <f t="shared" si="0"/>
        <v>4.0840704496667311</v>
      </c>
      <c r="D43">
        <f t="shared" si="1"/>
        <v>-0.58778525229247325</v>
      </c>
      <c r="E43">
        <f t="shared" si="2"/>
        <v>-0.80901699437494734</v>
      </c>
      <c r="F43">
        <v>256</v>
      </c>
      <c r="G43">
        <v>80</v>
      </c>
      <c r="H43">
        <v>192</v>
      </c>
      <c r="I43">
        <f t="shared" si="3"/>
        <v>380.02268823371185</v>
      </c>
      <c r="J43">
        <f t="shared" si="4"/>
        <v>250.7025858131139</v>
      </c>
      <c r="K43">
        <f t="shared" si="5"/>
        <v>315.30132868371606</v>
      </c>
      <c r="L43">
        <f t="shared" si="6"/>
        <v>297.72540599651177</v>
      </c>
      <c r="M43">
        <f t="shared" si="7"/>
        <v>-151</v>
      </c>
      <c r="N43">
        <f t="shared" si="8"/>
        <v>-208</v>
      </c>
      <c r="O43">
        <f t="shared" si="9"/>
        <v>315</v>
      </c>
      <c r="P43">
        <f t="shared" si="10"/>
        <v>340</v>
      </c>
    </row>
    <row r="44" spans="2:16" x14ac:dyDescent="0.15">
      <c r="B44">
        <v>40</v>
      </c>
      <c r="C44">
        <f t="shared" si="0"/>
        <v>4.1887902047863905</v>
      </c>
      <c r="D44">
        <f t="shared" si="1"/>
        <v>-0.50000000000000044</v>
      </c>
      <c r="E44">
        <f t="shared" si="2"/>
        <v>-0.86602540378443837</v>
      </c>
      <c r="F44">
        <v>256</v>
      </c>
      <c r="G44">
        <v>80</v>
      </c>
      <c r="H44">
        <v>192</v>
      </c>
      <c r="I44">
        <f t="shared" si="3"/>
        <v>361.50000000000011</v>
      </c>
      <c r="J44">
        <f t="shared" si="4"/>
        <v>262.73136019851648</v>
      </c>
      <c r="K44">
        <f t="shared" si="5"/>
        <v>292.21796769724506</v>
      </c>
      <c r="L44">
        <f t="shared" si="6"/>
        <v>302.73136019851654</v>
      </c>
      <c r="M44">
        <f t="shared" si="7"/>
        <v>-128</v>
      </c>
      <c r="N44">
        <f t="shared" si="8"/>
        <v>-222</v>
      </c>
      <c r="O44">
        <f t="shared" si="9"/>
        <v>292</v>
      </c>
      <c r="P44">
        <f t="shared" si="10"/>
        <v>343</v>
      </c>
    </row>
    <row r="45" spans="2:16" x14ac:dyDescent="0.15">
      <c r="B45">
        <v>41</v>
      </c>
      <c r="C45">
        <f t="shared" si="0"/>
        <v>4.29350995990605</v>
      </c>
      <c r="D45">
        <f t="shared" si="1"/>
        <v>-0.40673664307580087</v>
      </c>
      <c r="E45">
        <f t="shared" si="2"/>
        <v>-0.91354545764260053</v>
      </c>
      <c r="F45">
        <v>256</v>
      </c>
      <c r="G45">
        <v>80</v>
      </c>
      <c r="H45">
        <v>192</v>
      </c>
      <c r="I45">
        <f t="shared" si="3"/>
        <v>341.82143168899398</v>
      </c>
      <c r="J45">
        <f t="shared" si="4"/>
        <v>272.75809156258867</v>
      </c>
      <c r="K45">
        <f t="shared" si="5"/>
        <v>268.73779507758593</v>
      </c>
      <c r="L45">
        <f t="shared" si="6"/>
        <v>305.29702300865273</v>
      </c>
      <c r="M45">
        <f t="shared" si="7"/>
        <v>-105</v>
      </c>
      <c r="N45">
        <f t="shared" si="8"/>
        <v>-234</v>
      </c>
      <c r="O45">
        <f t="shared" si="9"/>
        <v>268</v>
      </c>
      <c r="P45">
        <f t="shared" si="10"/>
        <v>344</v>
      </c>
    </row>
    <row r="46" spans="2:16" x14ac:dyDescent="0.15">
      <c r="B46">
        <v>42</v>
      </c>
      <c r="C46">
        <f t="shared" si="0"/>
        <v>4.3982297150257104</v>
      </c>
      <c r="D46">
        <f t="shared" si="1"/>
        <v>-0.30901699437494756</v>
      </c>
      <c r="E46">
        <f t="shared" si="2"/>
        <v>-0.95105651629515353</v>
      </c>
      <c r="F46">
        <v>256</v>
      </c>
      <c r="G46">
        <v>80</v>
      </c>
      <c r="H46">
        <v>192</v>
      </c>
      <c r="I46">
        <f t="shared" si="3"/>
        <v>321.20258581311396</v>
      </c>
      <c r="J46">
        <f t="shared" si="4"/>
        <v>280.67292493827739</v>
      </c>
      <c r="K46">
        <f t="shared" si="5"/>
        <v>245.11806450950166</v>
      </c>
      <c r="L46">
        <f t="shared" si="6"/>
        <v>305.39428448827317</v>
      </c>
      <c r="M46">
        <f t="shared" si="7"/>
        <v>-80</v>
      </c>
      <c r="N46">
        <f t="shared" si="8"/>
        <v>-244</v>
      </c>
      <c r="O46">
        <f t="shared" si="9"/>
        <v>245</v>
      </c>
      <c r="P46">
        <f t="shared" si="10"/>
        <v>344</v>
      </c>
    </row>
    <row r="47" spans="2:16" x14ac:dyDescent="0.15">
      <c r="B47">
        <v>43</v>
      </c>
      <c r="C47">
        <f t="shared" si="0"/>
        <v>4.5029494701453698</v>
      </c>
      <c r="D47">
        <f t="shared" si="1"/>
        <v>-0.20791169081775979</v>
      </c>
      <c r="E47">
        <f t="shared" si="2"/>
        <v>-0.97814760073380558</v>
      </c>
      <c r="F47">
        <v>256</v>
      </c>
      <c r="G47">
        <v>80</v>
      </c>
      <c r="H47">
        <v>192</v>
      </c>
      <c r="I47">
        <f t="shared" si="3"/>
        <v>299.86936676254732</v>
      </c>
      <c r="J47">
        <f t="shared" si="4"/>
        <v>286.38914375483296</v>
      </c>
      <c r="K47">
        <f t="shared" si="5"/>
        <v>221.61755870384286</v>
      </c>
      <c r="L47">
        <f t="shared" si="6"/>
        <v>303.02207902025373</v>
      </c>
      <c r="M47">
        <f t="shared" si="7"/>
        <v>-54</v>
      </c>
      <c r="N47">
        <f t="shared" si="8"/>
        <v>-251</v>
      </c>
      <c r="O47">
        <f t="shared" si="9"/>
        <v>221</v>
      </c>
      <c r="P47">
        <f t="shared" si="10"/>
        <v>343</v>
      </c>
    </row>
    <row r="48" spans="2:16" x14ac:dyDescent="0.15">
      <c r="B48">
        <v>44</v>
      </c>
      <c r="C48">
        <f t="shared" si="0"/>
        <v>4.6076692252650293</v>
      </c>
      <c r="D48">
        <f t="shared" si="1"/>
        <v>-0.10452846326765423</v>
      </c>
      <c r="E48">
        <f t="shared" si="2"/>
        <v>-0.99452189536827329</v>
      </c>
      <c r="F48">
        <v>256</v>
      </c>
      <c r="G48">
        <v>80</v>
      </c>
      <c r="H48">
        <v>192</v>
      </c>
      <c r="I48">
        <f t="shared" si="3"/>
        <v>278.05550574947506</v>
      </c>
      <c r="J48">
        <f t="shared" si="4"/>
        <v>289.84411992270566</v>
      </c>
      <c r="K48">
        <f t="shared" si="5"/>
        <v>198.49375412001319</v>
      </c>
      <c r="L48">
        <f t="shared" si="6"/>
        <v>298.20639698411799</v>
      </c>
      <c r="M48">
        <f t="shared" si="7"/>
        <v>-27</v>
      </c>
      <c r="N48">
        <f t="shared" si="8"/>
        <v>-255</v>
      </c>
      <c r="O48">
        <f t="shared" si="9"/>
        <v>198</v>
      </c>
      <c r="P48">
        <f t="shared" si="10"/>
        <v>341</v>
      </c>
    </row>
    <row r="49" spans="2:16" x14ac:dyDescent="0.15">
      <c r="B49">
        <v>45</v>
      </c>
      <c r="C49">
        <f t="shared" si="0"/>
        <v>4.7123889803846897</v>
      </c>
      <c r="D49">
        <f t="shared" si="1"/>
        <v>-1.83772268236293E-16</v>
      </c>
      <c r="E49">
        <f t="shared" si="2"/>
        <v>-1</v>
      </c>
      <c r="F49">
        <v>256</v>
      </c>
      <c r="G49">
        <v>80</v>
      </c>
      <c r="H49">
        <v>192</v>
      </c>
      <c r="I49">
        <f t="shared" si="3"/>
        <v>256.00000000000006</v>
      </c>
      <c r="J49">
        <f t="shared" si="4"/>
        <v>291</v>
      </c>
      <c r="K49">
        <f t="shared" si="5"/>
        <v>176.00000000000006</v>
      </c>
      <c r="L49">
        <f t="shared" si="6"/>
        <v>291</v>
      </c>
      <c r="M49">
        <f t="shared" si="7"/>
        <v>-1</v>
      </c>
      <c r="N49">
        <f t="shared" si="8"/>
        <v>-256</v>
      </c>
      <c r="O49">
        <f t="shared" si="9"/>
        <v>176</v>
      </c>
      <c r="P49">
        <f t="shared" si="10"/>
        <v>337</v>
      </c>
    </row>
    <row r="50" spans="2:16" x14ac:dyDescent="0.15">
      <c r="B50">
        <v>46</v>
      </c>
      <c r="C50">
        <f t="shared" si="0"/>
        <v>4.8171087355043491</v>
      </c>
      <c r="D50">
        <f t="shared" si="1"/>
        <v>0.10452846326765299</v>
      </c>
      <c r="E50">
        <f t="shared" si="2"/>
        <v>-0.9945218953682734</v>
      </c>
      <c r="F50">
        <v>256</v>
      </c>
      <c r="G50">
        <v>80</v>
      </c>
      <c r="H50">
        <v>192</v>
      </c>
      <c r="I50">
        <f t="shared" si="3"/>
        <v>233.94449425052522</v>
      </c>
      <c r="J50">
        <f t="shared" si="4"/>
        <v>289.84411992270566</v>
      </c>
      <c r="K50">
        <f t="shared" si="5"/>
        <v>154.38274262106336</v>
      </c>
      <c r="L50">
        <f t="shared" si="6"/>
        <v>281.48184286129344</v>
      </c>
      <c r="M50">
        <f t="shared" si="7"/>
        <v>26</v>
      </c>
      <c r="N50">
        <f t="shared" si="8"/>
        <v>-255</v>
      </c>
      <c r="O50">
        <f t="shared" si="9"/>
        <v>154</v>
      </c>
      <c r="P50">
        <f t="shared" si="10"/>
        <v>332</v>
      </c>
    </row>
    <row r="51" spans="2:16" x14ac:dyDescent="0.15">
      <c r="B51">
        <v>47</v>
      </c>
      <c r="C51">
        <f t="shared" si="0"/>
        <v>4.9218284906240095</v>
      </c>
      <c r="D51">
        <f t="shared" si="1"/>
        <v>0.20791169081775943</v>
      </c>
      <c r="E51">
        <f t="shared" si="2"/>
        <v>-0.97814760073380558</v>
      </c>
      <c r="F51">
        <v>256</v>
      </c>
      <c r="G51">
        <v>80</v>
      </c>
      <c r="H51">
        <v>192</v>
      </c>
      <c r="I51">
        <f t="shared" si="3"/>
        <v>212.13063323745277</v>
      </c>
      <c r="J51">
        <f t="shared" si="4"/>
        <v>286.38914375483296</v>
      </c>
      <c r="K51">
        <f t="shared" si="5"/>
        <v>133.87882517874834</v>
      </c>
      <c r="L51">
        <f t="shared" si="6"/>
        <v>269.75620848941219</v>
      </c>
      <c r="M51">
        <f t="shared" si="7"/>
        <v>53</v>
      </c>
      <c r="N51">
        <f t="shared" si="8"/>
        <v>-251</v>
      </c>
      <c r="O51">
        <f t="shared" si="9"/>
        <v>133</v>
      </c>
      <c r="P51">
        <f t="shared" si="10"/>
        <v>326</v>
      </c>
    </row>
    <row r="52" spans="2:16" x14ac:dyDescent="0.15">
      <c r="B52">
        <v>48</v>
      </c>
      <c r="C52">
        <f t="shared" si="0"/>
        <v>5.026548245743669</v>
      </c>
      <c r="D52">
        <f t="shared" si="1"/>
        <v>0.30901699437494723</v>
      </c>
      <c r="E52">
        <f t="shared" si="2"/>
        <v>-0.95105651629515364</v>
      </c>
      <c r="F52">
        <v>256</v>
      </c>
      <c r="G52">
        <v>80</v>
      </c>
      <c r="H52">
        <v>192</v>
      </c>
      <c r="I52">
        <f t="shared" si="3"/>
        <v>190.79741418688613</v>
      </c>
      <c r="J52">
        <f t="shared" si="4"/>
        <v>280.67292493827745</v>
      </c>
      <c r="K52">
        <f t="shared" si="5"/>
        <v>114.71289288327384</v>
      </c>
      <c r="L52">
        <f t="shared" si="6"/>
        <v>255.95156538828167</v>
      </c>
      <c r="M52">
        <f t="shared" si="7"/>
        <v>79</v>
      </c>
      <c r="N52">
        <f t="shared" si="8"/>
        <v>-244</v>
      </c>
      <c r="O52">
        <f t="shared" si="9"/>
        <v>114</v>
      </c>
      <c r="P52">
        <f t="shared" si="10"/>
        <v>319</v>
      </c>
    </row>
    <row r="53" spans="2:16" x14ac:dyDescent="0.15">
      <c r="B53">
        <v>49</v>
      </c>
      <c r="C53">
        <f t="shared" si="0"/>
        <v>5.1312680008633285</v>
      </c>
      <c r="D53">
        <f t="shared" si="1"/>
        <v>0.40673664307579976</v>
      </c>
      <c r="E53">
        <f t="shared" si="2"/>
        <v>-0.91354545764260109</v>
      </c>
      <c r="F53">
        <v>256</v>
      </c>
      <c r="G53">
        <v>80</v>
      </c>
      <c r="H53">
        <v>192</v>
      </c>
      <c r="I53">
        <f t="shared" si="3"/>
        <v>170.17856831100625</v>
      </c>
      <c r="J53">
        <f t="shared" si="4"/>
        <v>272.75809156258879</v>
      </c>
      <c r="K53">
        <f t="shared" si="5"/>
        <v>97.094931699598163</v>
      </c>
      <c r="L53">
        <f t="shared" si="6"/>
        <v>240.21916011652479</v>
      </c>
      <c r="M53">
        <f t="shared" si="7"/>
        <v>104</v>
      </c>
      <c r="N53">
        <f t="shared" si="8"/>
        <v>-234</v>
      </c>
      <c r="O53">
        <f t="shared" si="9"/>
        <v>97</v>
      </c>
      <c r="P53">
        <f t="shared" si="10"/>
        <v>312</v>
      </c>
    </row>
    <row r="54" spans="2:16" x14ac:dyDescent="0.15">
      <c r="B54">
        <v>50</v>
      </c>
      <c r="C54">
        <f t="shared" si="0"/>
        <v>5.2359877559829888</v>
      </c>
      <c r="D54">
        <f t="shared" si="1"/>
        <v>0.50000000000000011</v>
      </c>
      <c r="E54">
        <f t="shared" si="2"/>
        <v>-0.8660254037844386</v>
      </c>
      <c r="F54">
        <v>256</v>
      </c>
      <c r="G54">
        <v>80</v>
      </c>
      <c r="H54">
        <v>192</v>
      </c>
      <c r="I54">
        <f t="shared" si="3"/>
        <v>150.49999999999997</v>
      </c>
      <c r="J54">
        <f t="shared" si="4"/>
        <v>262.73136019851654</v>
      </c>
      <c r="K54">
        <f t="shared" si="5"/>
        <v>81.217967697244887</v>
      </c>
      <c r="L54">
        <f t="shared" si="6"/>
        <v>222.73136019851654</v>
      </c>
      <c r="M54">
        <f t="shared" si="7"/>
        <v>128</v>
      </c>
      <c r="N54">
        <f t="shared" si="8"/>
        <v>-222</v>
      </c>
      <c r="O54">
        <f t="shared" si="9"/>
        <v>81</v>
      </c>
      <c r="P54">
        <f t="shared" si="10"/>
        <v>303</v>
      </c>
    </row>
    <row r="55" spans="2:16" x14ac:dyDescent="0.15">
      <c r="B55">
        <v>51</v>
      </c>
      <c r="C55">
        <f t="shared" si="0"/>
        <v>5.3407075111026483</v>
      </c>
      <c r="D55">
        <f t="shared" si="1"/>
        <v>0.58778525229247292</v>
      </c>
      <c r="E55">
        <f t="shared" si="2"/>
        <v>-0.80901699437494756</v>
      </c>
      <c r="F55">
        <v>256</v>
      </c>
      <c r="G55">
        <v>80</v>
      </c>
      <c r="H55">
        <v>192</v>
      </c>
      <c r="I55">
        <f t="shared" si="3"/>
        <v>131.97731176628821</v>
      </c>
      <c r="J55">
        <f t="shared" si="4"/>
        <v>250.70258581311393</v>
      </c>
      <c r="K55">
        <f t="shared" si="5"/>
        <v>67.2559522162924</v>
      </c>
      <c r="L55">
        <f t="shared" si="6"/>
        <v>203.67976562971609</v>
      </c>
      <c r="M55">
        <f t="shared" si="7"/>
        <v>150</v>
      </c>
      <c r="N55">
        <f t="shared" si="8"/>
        <v>-208</v>
      </c>
      <c r="O55">
        <f t="shared" si="9"/>
        <v>67</v>
      </c>
      <c r="P55">
        <f t="shared" si="10"/>
        <v>293</v>
      </c>
    </row>
    <row r="56" spans="2:16" x14ac:dyDescent="0.15">
      <c r="B56">
        <v>52</v>
      </c>
      <c r="C56">
        <f t="shared" si="0"/>
        <v>5.4454272662223087</v>
      </c>
      <c r="D56">
        <f t="shared" si="1"/>
        <v>0.66913060635885846</v>
      </c>
      <c r="E56">
        <f t="shared" si="2"/>
        <v>-0.74314482547739402</v>
      </c>
      <c r="F56">
        <v>256</v>
      </c>
      <c r="G56">
        <v>80</v>
      </c>
      <c r="H56">
        <v>192</v>
      </c>
      <c r="I56">
        <f t="shared" si="3"/>
        <v>114.81344205828086</v>
      </c>
      <c r="J56">
        <f t="shared" si="4"/>
        <v>236.80355817573013</v>
      </c>
      <c r="K56">
        <f t="shared" si="5"/>
        <v>55.361856020089334</v>
      </c>
      <c r="L56">
        <f t="shared" si="6"/>
        <v>183.27310966702146</v>
      </c>
      <c r="M56">
        <f t="shared" si="7"/>
        <v>171</v>
      </c>
      <c r="N56">
        <f t="shared" si="8"/>
        <v>-191</v>
      </c>
      <c r="O56">
        <f t="shared" si="9"/>
        <v>55</v>
      </c>
      <c r="P56">
        <f t="shared" si="10"/>
        <v>283</v>
      </c>
    </row>
    <row r="57" spans="2:16" x14ac:dyDescent="0.15">
      <c r="B57">
        <v>53</v>
      </c>
      <c r="C57">
        <f t="shared" si="0"/>
        <v>5.5501470213419681</v>
      </c>
      <c r="D57">
        <f t="shared" si="1"/>
        <v>0.74314482547739424</v>
      </c>
      <c r="E57">
        <f t="shared" si="2"/>
        <v>-0.66913060635885813</v>
      </c>
      <c r="F57">
        <v>256</v>
      </c>
      <c r="G57">
        <v>80</v>
      </c>
      <c r="H57">
        <v>192</v>
      </c>
      <c r="I57">
        <f t="shared" si="3"/>
        <v>99.196441824269812</v>
      </c>
      <c r="J57">
        <f t="shared" si="4"/>
        <v>221.18655794171906</v>
      </c>
      <c r="K57">
        <f t="shared" si="5"/>
        <v>45.66599331556116</v>
      </c>
      <c r="L57">
        <f t="shared" si="6"/>
        <v>161.73497190352754</v>
      </c>
      <c r="M57">
        <f t="shared" si="7"/>
        <v>190</v>
      </c>
      <c r="N57">
        <f t="shared" si="8"/>
        <v>-172</v>
      </c>
      <c r="O57">
        <f t="shared" si="9"/>
        <v>45</v>
      </c>
      <c r="P57">
        <f t="shared" si="10"/>
        <v>272</v>
      </c>
    </row>
    <row r="58" spans="2:16" x14ac:dyDescent="0.15">
      <c r="B58">
        <v>54</v>
      </c>
      <c r="C58">
        <f t="shared" si="0"/>
        <v>5.6548667764616276</v>
      </c>
      <c r="D58">
        <f t="shared" si="1"/>
        <v>0.80901699437494734</v>
      </c>
      <c r="E58">
        <f t="shared" si="2"/>
        <v>-0.58778525229247336</v>
      </c>
      <c r="F58">
        <v>256</v>
      </c>
      <c r="G58">
        <v>80</v>
      </c>
      <c r="H58">
        <v>192</v>
      </c>
      <c r="I58">
        <f t="shared" si="3"/>
        <v>85.297414186886101</v>
      </c>
      <c r="J58">
        <f t="shared" si="4"/>
        <v>204.02268823371188</v>
      </c>
      <c r="K58">
        <f t="shared" si="5"/>
        <v>38.274594003488232</v>
      </c>
      <c r="L58">
        <f t="shared" si="6"/>
        <v>139.30132868371609</v>
      </c>
      <c r="M58">
        <f t="shared" si="7"/>
        <v>207</v>
      </c>
      <c r="N58">
        <f t="shared" si="8"/>
        <v>-151</v>
      </c>
      <c r="O58">
        <f t="shared" si="9"/>
        <v>38</v>
      </c>
      <c r="P58">
        <f t="shared" si="10"/>
        <v>261</v>
      </c>
    </row>
    <row r="59" spans="2:16" x14ac:dyDescent="0.15">
      <c r="B59">
        <v>55</v>
      </c>
      <c r="C59">
        <f t="shared" si="0"/>
        <v>5.759586531581288</v>
      </c>
      <c r="D59">
        <f t="shared" si="1"/>
        <v>0.86602540378443882</v>
      </c>
      <c r="E59">
        <f t="shared" si="2"/>
        <v>-0.49999999999999967</v>
      </c>
      <c r="F59">
        <v>256</v>
      </c>
      <c r="G59">
        <v>80</v>
      </c>
      <c r="H59">
        <v>192</v>
      </c>
      <c r="I59">
        <f t="shared" si="3"/>
        <v>73.268639801483403</v>
      </c>
      <c r="J59">
        <f t="shared" si="4"/>
        <v>185.49999999999994</v>
      </c>
      <c r="K59">
        <f t="shared" si="5"/>
        <v>33.268639801483431</v>
      </c>
      <c r="L59">
        <f t="shared" si="6"/>
        <v>116.21796769724483</v>
      </c>
      <c r="M59">
        <f t="shared" si="7"/>
        <v>221</v>
      </c>
      <c r="N59">
        <f t="shared" si="8"/>
        <v>-128</v>
      </c>
      <c r="O59">
        <f t="shared" si="9"/>
        <v>33</v>
      </c>
      <c r="P59">
        <f t="shared" si="10"/>
        <v>250</v>
      </c>
    </row>
    <row r="60" spans="2:16" x14ac:dyDescent="0.15">
      <c r="B60">
        <v>56</v>
      </c>
      <c r="C60">
        <f t="shared" si="0"/>
        <v>5.8643062867009474</v>
      </c>
      <c r="D60">
        <f t="shared" si="1"/>
        <v>0.91354545764260098</v>
      </c>
      <c r="E60">
        <f t="shared" si="2"/>
        <v>-0.40673664307580015</v>
      </c>
      <c r="F60">
        <v>256</v>
      </c>
      <c r="G60">
        <v>80</v>
      </c>
      <c r="H60">
        <v>192</v>
      </c>
      <c r="I60">
        <f t="shared" si="3"/>
        <v>63.241908437411183</v>
      </c>
      <c r="J60">
        <f t="shared" si="4"/>
        <v>165.82143168899381</v>
      </c>
      <c r="K60">
        <f t="shared" si="5"/>
        <v>30.702976991347171</v>
      </c>
      <c r="L60">
        <f t="shared" si="6"/>
        <v>92.73779507758573</v>
      </c>
      <c r="M60">
        <f t="shared" si="7"/>
        <v>233</v>
      </c>
      <c r="N60">
        <f t="shared" si="8"/>
        <v>-105</v>
      </c>
      <c r="O60">
        <f t="shared" si="9"/>
        <v>30</v>
      </c>
      <c r="P60">
        <f t="shared" si="10"/>
        <v>238</v>
      </c>
    </row>
    <row r="61" spans="2:16" x14ac:dyDescent="0.15">
      <c r="B61">
        <v>57</v>
      </c>
      <c r="C61">
        <f t="shared" si="0"/>
        <v>5.9690260418206069</v>
      </c>
      <c r="D61">
        <f t="shared" si="1"/>
        <v>0.95105651629515353</v>
      </c>
      <c r="E61">
        <f t="shared" si="2"/>
        <v>-0.30901699437494762</v>
      </c>
      <c r="F61">
        <v>256</v>
      </c>
      <c r="G61">
        <v>80</v>
      </c>
      <c r="H61">
        <v>192</v>
      </c>
      <c r="I61">
        <f t="shared" si="3"/>
        <v>55.32707506172261</v>
      </c>
      <c r="J61">
        <f t="shared" si="4"/>
        <v>145.20258581311396</v>
      </c>
      <c r="K61">
        <f t="shared" si="5"/>
        <v>30.6057155117268</v>
      </c>
      <c r="L61">
        <f t="shared" si="6"/>
        <v>69.118064509501679</v>
      </c>
      <c r="M61">
        <f t="shared" si="7"/>
        <v>243</v>
      </c>
      <c r="N61">
        <f t="shared" si="8"/>
        <v>-80</v>
      </c>
      <c r="O61">
        <f t="shared" si="9"/>
        <v>30</v>
      </c>
      <c r="P61">
        <f t="shared" si="10"/>
        <v>226</v>
      </c>
    </row>
    <row r="62" spans="2:16" x14ac:dyDescent="0.15">
      <c r="B62">
        <v>58</v>
      </c>
      <c r="C62">
        <f t="shared" si="0"/>
        <v>6.0737457969402673</v>
      </c>
      <c r="D62">
        <f t="shared" si="1"/>
        <v>0.97814760073380569</v>
      </c>
      <c r="E62">
        <f t="shared" si="2"/>
        <v>-0.20791169081775898</v>
      </c>
      <c r="F62">
        <v>256</v>
      </c>
      <c r="G62">
        <v>80</v>
      </c>
      <c r="H62">
        <v>192</v>
      </c>
      <c r="I62">
        <f t="shared" si="3"/>
        <v>49.610856245166985</v>
      </c>
      <c r="J62">
        <f t="shared" si="4"/>
        <v>123.86936676254714</v>
      </c>
      <c r="K62">
        <f t="shared" si="5"/>
        <v>32.977920979746266</v>
      </c>
      <c r="L62">
        <f t="shared" si="6"/>
        <v>45.61755870384269</v>
      </c>
      <c r="M62">
        <f t="shared" si="7"/>
        <v>250</v>
      </c>
      <c r="N62">
        <f t="shared" si="8"/>
        <v>-54</v>
      </c>
      <c r="O62">
        <f t="shared" si="9"/>
        <v>32</v>
      </c>
      <c r="P62">
        <f t="shared" si="10"/>
        <v>214</v>
      </c>
    </row>
    <row r="63" spans="2:16" x14ac:dyDescent="0.15">
      <c r="B63">
        <v>59</v>
      </c>
      <c r="C63">
        <f t="shared" si="0"/>
        <v>6.1784655520599268</v>
      </c>
      <c r="D63">
        <f t="shared" si="1"/>
        <v>0.99452189536827329</v>
      </c>
      <c r="E63">
        <f t="shared" si="2"/>
        <v>-0.10452846326765342</v>
      </c>
      <c r="F63">
        <v>256</v>
      </c>
      <c r="G63">
        <v>80</v>
      </c>
      <c r="H63">
        <v>192</v>
      </c>
      <c r="I63">
        <f t="shared" si="3"/>
        <v>46.155880077294341</v>
      </c>
      <c r="J63">
        <f t="shared" si="4"/>
        <v>102.05550574947488</v>
      </c>
      <c r="K63">
        <f t="shared" si="5"/>
        <v>37.79360301588207</v>
      </c>
      <c r="L63">
        <f t="shared" si="6"/>
        <v>22.493754120013008</v>
      </c>
      <c r="M63">
        <f t="shared" si="7"/>
        <v>254</v>
      </c>
      <c r="N63">
        <f t="shared" si="8"/>
        <v>-27</v>
      </c>
      <c r="O63">
        <f t="shared" si="9"/>
        <v>37</v>
      </c>
      <c r="P63">
        <f t="shared" si="10"/>
        <v>203</v>
      </c>
    </row>
    <row r="64" spans="2:16" x14ac:dyDescent="0.15">
      <c r="B64">
        <v>60</v>
      </c>
      <c r="C64">
        <f t="shared" si="0"/>
        <v>6.2831853071795853</v>
      </c>
      <c r="D64">
        <f t="shared" si="1"/>
        <v>1</v>
      </c>
      <c r="E64">
        <f t="shared" si="2"/>
        <v>-1.1332081106818492E-15</v>
      </c>
      <c r="F64">
        <v>256</v>
      </c>
      <c r="G64">
        <v>80</v>
      </c>
      <c r="H64">
        <v>192</v>
      </c>
      <c r="I64">
        <f t="shared" si="3"/>
        <v>45</v>
      </c>
      <c r="J64">
        <f t="shared" si="4"/>
        <v>80.000000000000242</v>
      </c>
      <c r="K64">
        <f t="shared" si="5"/>
        <v>44.999999999999908</v>
      </c>
      <c r="L64">
        <f t="shared" si="6"/>
        <v>2.4158453015843406E-13</v>
      </c>
      <c r="M64">
        <f t="shared" si="7"/>
        <v>256</v>
      </c>
      <c r="N64">
        <f t="shared" si="8"/>
        <v>-1</v>
      </c>
      <c r="O64">
        <f t="shared" si="9"/>
        <v>44</v>
      </c>
      <c r="P64">
        <f t="shared" si="10"/>
        <v>192</v>
      </c>
    </row>
  </sheetData>
  <mergeCells count="1">
    <mergeCell ref="F2:G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"/>
  <sheetViews>
    <sheetView zoomScale="115" zoomScaleNormal="115" workbookViewId="0">
      <selection activeCell="C17" sqref="C17"/>
    </sheetView>
  </sheetViews>
  <sheetFormatPr defaultRowHeight="13.5" x14ac:dyDescent="0.15"/>
  <cols>
    <col min="1" max="1" width="3.25" customWidth="1"/>
    <col min="4" max="4" width="13.875" bestFit="1" customWidth="1"/>
    <col min="5" max="5" width="26.5" bestFit="1" customWidth="1"/>
  </cols>
  <sheetData>
    <row r="1" spans="2:18" x14ac:dyDescent="0.15">
      <c r="B1" t="s">
        <v>27</v>
      </c>
    </row>
    <row r="2" spans="2:18" x14ac:dyDescent="0.15">
      <c r="H2" s="5" t="s">
        <v>14</v>
      </c>
      <c r="I2" s="5"/>
    </row>
    <row r="3" spans="2:18" x14ac:dyDescent="0.15">
      <c r="B3" t="s">
        <v>0</v>
      </c>
      <c r="C3" t="s">
        <v>24</v>
      </c>
      <c r="D3" t="s">
        <v>25</v>
      </c>
      <c r="E3" t="s">
        <v>26</v>
      </c>
      <c r="F3" t="s">
        <v>12</v>
      </c>
      <c r="G3" t="s">
        <v>13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</row>
    <row r="4" spans="2:18" x14ac:dyDescent="0.15">
      <c r="B4">
        <v>0</v>
      </c>
      <c r="C4">
        <f>2*PI()*B4/120+PI()/4</f>
        <v>0.78539816339744828</v>
      </c>
      <c r="D4">
        <f>POWER(SIN(C4),2)</f>
        <v>0.49999999999999989</v>
      </c>
      <c r="E4">
        <f>(D4-0.5)*SQRT(3)</f>
        <v>-1.9229626863835638E-16</v>
      </c>
      <c r="F4">
        <f>COS(E4)</f>
        <v>1</v>
      </c>
      <c r="G4">
        <f>SIN(E4)</f>
        <v>-1.9229626863835638E-16</v>
      </c>
      <c r="H4">
        <v>256</v>
      </c>
      <c r="I4">
        <v>80</v>
      </c>
      <c r="J4">
        <v>192</v>
      </c>
      <c r="K4">
        <f>H4-F4*211</f>
        <v>45</v>
      </c>
      <c r="L4">
        <f>I4-G4*211</f>
        <v>80.000000000000043</v>
      </c>
      <c r="M4">
        <f>K4+G4*80</f>
        <v>44.999999999999986</v>
      </c>
      <c r="N4">
        <f>L4-F4*80</f>
        <v>0</v>
      </c>
      <c r="O4">
        <f>INT(F4*256)</f>
        <v>256</v>
      </c>
      <c r="P4">
        <f>INT(G4*256)</f>
        <v>-1</v>
      </c>
      <c r="Q4">
        <f>INT(M4)</f>
        <v>45</v>
      </c>
      <c r="R4">
        <f>INT(N4/2)+J4</f>
        <v>192</v>
      </c>
    </row>
    <row r="5" spans="2:18" x14ac:dyDescent="0.15">
      <c r="B5">
        <v>1</v>
      </c>
      <c r="C5">
        <f t="shared" ref="C5:C64" si="0">2*PI()*B5/120+PI()/4</f>
        <v>0.83775804095727813</v>
      </c>
      <c r="D5">
        <f t="shared" ref="D5:D64" si="1">POWER(SIN(C5),2)</f>
        <v>0.55226423163382654</v>
      </c>
      <c r="E5">
        <f t="shared" ref="E5:E64" si="2">(D5-0.5)*SQRT(3)</f>
        <v>9.0524304608336117E-2</v>
      </c>
      <c r="F5">
        <f t="shared" ref="F5:F64" si="3">COS(E5)</f>
        <v>0.99590547238524751</v>
      </c>
      <c r="G5">
        <f t="shared" ref="G5:G64" si="4">SIN(E5)</f>
        <v>9.0400719428093843E-2</v>
      </c>
      <c r="H5">
        <v>256</v>
      </c>
      <c r="I5">
        <v>80</v>
      </c>
      <c r="J5">
        <v>192</v>
      </c>
      <c r="K5">
        <f t="shared" ref="K5:L64" si="5">H5-F5*211</f>
        <v>45.863945326712781</v>
      </c>
      <c r="L5">
        <f t="shared" si="5"/>
        <v>60.9254482006722</v>
      </c>
      <c r="M5">
        <f t="shared" ref="M5:M64" si="6">K5+G5*80</f>
        <v>53.096002880960285</v>
      </c>
      <c r="N5">
        <f t="shared" ref="N5:N64" si="7">L5-F5*80</f>
        <v>-18.746989590147599</v>
      </c>
      <c r="O5">
        <f t="shared" ref="O5:P64" si="8">INT(F5*256)</f>
        <v>254</v>
      </c>
      <c r="P5">
        <f t="shared" si="8"/>
        <v>23</v>
      </c>
      <c r="Q5">
        <f t="shared" ref="Q5:Q64" si="9">INT(M5)</f>
        <v>53</v>
      </c>
      <c r="R5">
        <f t="shared" ref="R5:R64" si="10">INT(N5/2)+J5</f>
        <v>182</v>
      </c>
    </row>
    <row r="6" spans="2:18" x14ac:dyDescent="0.15">
      <c r="B6">
        <v>2</v>
      </c>
      <c r="C6">
        <f t="shared" si="0"/>
        <v>0.89011791851710809</v>
      </c>
      <c r="D6">
        <f t="shared" si="1"/>
        <v>0.6039558454088797</v>
      </c>
      <c r="E6">
        <f t="shared" si="2"/>
        <v>0.18005680599195545</v>
      </c>
      <c r="F6">
        <f t="shared" si="3"/>
        <v>0.98383352124822632</v>
      </c>
      <c r="G6">
        <f t="shared" si="4"/>
        <v>0.17908546135383493</v>
      </c>
      <c r="H6">
        <v>256</v>
      </c>
      <c r="I6">
        <v>80</v>
      </c>
      <c r="J6">
        <v>192</v>
      </c>
      <c r="K6">
        <f t="shared" si="5"/>
        <v>48.411127016624249</v>
      </c>
      <c r="L6">
        <f t="shared" si="5"/>
        <v>42.212967654340829</v>
      </c>
      <c r="M6">
        <f t="shared" si="6"/>
        <v>62.737963924931044</v>
      </c>
      <c r="N6">
        <f t="shared" si="7"/>
        <v>-36.493714045517279</v>
      </c>
      <c r="O6">
        <f t="shared" si="8"/>
        <v>251</v>
      </c>
      <c r="P6">
        <f t="shared" si="8"/>
        <v>45</v>
      </c>
      <c r="Q6">
        <f t="shared" si="9"/>
        <v>62</v>
      </c>
      <c r="R6">
        <f t="shared" si="10"/>
        <v>173</v>
      </c>
    </row>
    <row r="7" spans="2:18" x14ac:dyDescent="0.15">
      <c r="B7">
        <v>3</v>
      </c>
      <c r="C7">
        <f t="shared" si="0"/>
        <v>0.94247779607693793</v>
      </c>
      <c r="D7">
        <f t="shared" si="1"/>
        <v>0.65450849718747373</v>
      </c>
      <c r="E7">
        <f t="shared" si="2"/>
        <v>0.26761656732981748</v>
      </c>
      <c r="F7">
        <f t="shared" si="3"/>
        <v>0.96440389471426236</v>
      </c>
      <c r="G7">
        <f t="shared" si="4"/>
        <v>0.26443359820560219</v>
      </c>
      <c r="H7">
        <v>256</v>
      </c>
      <c r="I7">
        <v>80</v>
      </c>
      <c r="J7">
        <v>192</v>
      </c>
      <c r="K7">
        <f t="shared" si="5"/>
        <v>52.510778215290657</v>
      </c>
      <c r="L7">
        <f t="shared" si="5"/>
        <v>24.204510778617937</v>
      </c>
      <c r="M7">
        <f t="shared" si="6"/>
        <v>73.665466071738834</v>
      </c>
      <c r="N7">
        <f t="shared" si="7"/>
        <v>-52.947800798523055</v>
      </c>
      <c r="O7">
        <f t="shared" si="8"/>
        <v>246</v>
      </c>
      <c r="P7">
        <f t="shared" si="8"/>
        <v>67</v>
      </c>
      <c r="Q7">
        <f t="shared" si="9"/>
        <v>73</v>
      </c>
      <c r="R7">
        <f t="shared" si="10"/>
        <v>165</v>
      </c>
    </row>
    <row r="8" spans="2:18" x14ac:dyDescent="0.15">
      <c r="B8">
        <v>4</v>
      </c>
      <c r="C8">
        <f t="shared" si="0"/>
        <v>0.99483767363676778</v>
      </c>
      <c r="D8">
        <f t="shared" si="1"/>
        <v>0.70336832153789997</v>
      </c>
      <c r="E8">
        <f t="shared" si="2"/>
        <v>0.35224426555364674</v>
      </c>
      <c r="F8">
        <f t="shared" si="3"/>
        <v>0.93860079407431984</v>
      </c>
      <c r="G8">
        <f t="shared" si="4"/>
        <v>0.3450051439660809</v>
      </c>
      <c r="H8">
        <v>256</v>
      </c>
      <c r="I8">
        <v>80</v>
      </c>
      <c r="J8">
        <v>192</v>
      </c>
      <c r="K8">
        <f t="shared" si="5"/>
        <v>57.955232450318505</v>
      </c>
      <c r="L8">
        <f t="shared" si="5"/>
        <v>7.2039146231569333</v>
      </c>
      <c r="M8">
        <f t="shared" si="6"/>
        <v>85.555643967604979</v>
      </c>
      <c r="N8">
        <f t="shared" si="7"/>
        <v>-67.884148902788652</v>
      </c>
      <c r="O8">
        <f t="shared" si="8"/>
        <v>240</v>
      </c>
      <c r="P8">
        <f t="shared" si="8"/>
        <v>88</v>
      </c>
      <c r="Q8">
        <f t="shared" si="9"/>
        <v>85</v>
      </c>
      <c r="R8">
        <f t="shared" si="10"/>
        <v>158</v>
      </c>
    </row>
    <row r="9" spans="2:18" x14ac:dyDescent="0.15">
      <c r="B9">
        <v>5</v>
      </c>
      <c r="C9">
        <f t="shared" si="0"/>
        <v>1.0471975511965976</v>
      </c>
      <c r="D9">
        <f t="shared" si="1"/>
        <v>0.74999999999999989</v>
      </c>
      <c r="E9">
        <f t="shared" si="2"/>
        <v>0.43301270189221913</v>
      </c>
      <c r="F9">
        <f t="shared" si="3"/>
        <v>0.90770571906660835</v>
      </c>
      <c r="G9">
        <f t="shared" si="4"/>
        <v>0.41960734928474669</v>
      </c>
      <c r="H9">
        <v>256</v>
      </c>
      <c r="I9">
        <v>80</v>
      </c>
      <c r="J9">
        <v>192</v>
      </c>
      <c r="K9">
        <f t="shared" si="5"/>
        <v>64.474093276945638</v>
      </c>
      <c r="L9">
        <f t="shared" si="5"/>
        <v>-8.5371506990815504</v>
      </c>
      <c r="M9">
        <f t="shared" si="6"/>
        <v>98.042681219725381</v>
      </c>
      <c r="N9">
        <f t="shared" si="7"/>
        <v>-81.15360822441022</v>
      </c>
      <c r="O9">
        <f t="shared" si="8"/>
        <v>232</v>
      </c>
      <c r="P9">
        <f t="shared" si="8"/>
        <v>107</v>
      </c>
      <c r="Q9">
        <f t="shared" si="9"/>
        <v>98</v>
      </c>
      <c r="R9">
        <f t="shared" si="10"/>
        <v>151</v>
      </c>
    </row>
    <row r="10" spans="2:18" x14ac:dyDescent="0.15">
      <c r="B10">
        <v>6</v>
      </c>
      <c r="C10">
        <f t="shared" si="0"/>
        <v>1.0995574287564276</v>
      </c>
      <c r="D10">
        <f t="shared" si="1"/>
        <v>0.79389262614623646</v>
      </c>
      <c r="E10">
        <f t="shared" si="2"/>
        <v>0.50903696045512692</v>
      </c>
      <c r="F10">
        <f t="shared" si="3"/>
        <v>0.87321423685543054</v>
      </c>
      <c r="G10">
        <f t="shared" si="4"/>
        <v>0.48733653316059539</v>
      </c>
      <c r="H10">
        <v>256</v>
      </c>
      <c r="I10">
        <v>80</v>
      </c>
      <c r="J10">
        <v>192</v>
      </c>
      <c r="K10">
        <f t="shared" si="5"/>
        <v>71.75179602350417</v>
      </c>
      <c r="L10">
        <f t="shared" si="5"/>
        <v>-22.82800849688563</v>
      </c>
      <c r="M10">
        <f t="shared" si="6"/>
        <v>110.73871867635179</v>
      </c>
      <c r="N10">
        <f t="shared" si="7"/>
        <v>-92.685147445320069</v>
      </c>
      <c r="O10">
        <f t="shared" si="8"/>
        <v>223</v>
      </c>
      <c r="P10">
        <f t="shared" si="8"/>
        <v>124</v>
      </c>
      <c r="Q10">
        <f t="shared" si="9"/>
        <v>110</v>
      </c>
      <c r="R10">
        <f t="shared" si="10"/>
        <v>145</v>
      </c>
    </row>
    <row r="11" spans="2:18" x14ac:dyDescent="0.15">
      <c r="B11">
        <v>7</v>
      </c>
      <c r="C11">
        <f t="shared" si="0"/>
        <v>1.1519173063162575</v>
      </c>
      <c r="D11">
        <f t="shared" si="1"/>
        <v>0.83456530317942901</v>
      </c>
      <c r="E11">
        <f t="shared" si="2"/>
        <v>0.5794841035564563</v>
      </c>
      <c r="F11">
        <f t="shared" si="3"/>
        <v>0.83674526219070844</v>
      </c>
      <c r="G11">
        <f t="shared" si="4"/>
        <v>0.54759233577671873</v>
      </c>
      <c r="H11">
        <v>256</v>
      </c>
      <c r="I11">
        <v>80</v>
      </c>
      <c r="J11">
        <v>192</v>
      </c>
      <c r="K11">
        <f t="shared" si="5"/>
        <v>79.446749677760522</v>
      </c>
      <c r="L11">
        <f t="shared" si="5"/>
        <v>-35.541982848887656</v>
      </c>
      <c r="M11">
        <f t="shared" si="6"/>
        <v>123.25413653989801</v>
      </c>
      <c r="N11">
        <f t="shared" si="7"/>
        <v>-102.48160382414433</v>
      </c>
      <c r="O11">
        <f t="shared" si="8"/>
        <v>214</v>
      </c>
      <c r="P11">
        <f t="shared" si="8"/>
        <v>140</v>
      </c>
      <c r="Q11">
        <f t="shared" si="9"/>
        <v>123</v>
      </c>
      <c r="R11">
        <f t="shared" si="10"/>
        <v>140</v>
      </c>
    </row>
    <row r="12" spans="2:18" x14ac:dyDescent="0.15">
      <c r="B12">
        <v>8</v>
      </c>
      <c r="C12">
        <f t="shared" si="0"/>
        <v>1.2042771838760873</v>
      </c>
      <c r="D12">
        <f t="shared" si="1"/>
        <v>0.87157241273869712</v>
      </c>
      <c r="E12">
        <f t="shared" si="2"/>
        <v>0.64358229755437646</v>
      </c>
      <c r="F12">
        <f t="shared" si="3"/>
        <v>0.79995128410675231</v>
      </c>
      <c r="G12">
        <f t="shared" si="4"/>
        <v>0.6000649490313178</v>
      </c>
      <c r="H12">
        <v>256</v>
      </c>
      <c r="I12">
        <v>80</v>
      </c>
      <c r="J12">
        <v>192</v>
      </c>
      <c r="K12">
        <f t="shared" si="5"/>
        <v>87.210279053475261</v>
      </c>
      <c r="L12">
        <f t="shared" si="5"/>
        <v>-46.613704245608048</v>
      </c>
      <c r="M12">
        <f t="shared" si="6"/>
        <v>135.21547497598067</v>
      </c>
      <c r="N12">
        <f t="shared" si="7"/>
        <v>-110.60980697414823</v>
      </c>
      <c r="O12">
        <f t="shared" si="8"/>
        <v>204</v>
      </c>
      <c r="P12">
        <f t="shared" si="8"/>
        <v>153</v>
      </c>
      <c r="Q12">
        <f t="shared" si="9"/>
        <v>135</v>
      </c>
      <c r="R12">
        <f t="shared" si="10"/>
        <v>136</v>
      </c>
    </row>
    <row r="13" spans="2:18" x14ac:dyDescent="0.15">
      <c r="B13">
        <v>9</v>
      </c>
      <c r="C13">
        <f t="shared" si="0"/>
        <v>1.2566370614359172</v>
      </c>
      <c r="D13">
        <f t="shared" si="1"/>
        <v>0.90450849718747361</v>
      </c>
      <c r="E13">
        <f t="shared" si="2"/>
        <v>0.70062926922203661</v>
      </c>
      <c r="F13">
        <f t="shared" si="3"/>
        <v>0.76443664951736678</v>
      </c>
      <c r="G13">
        <f t="shared" si="4"/>
        <v>0.64469885130552429</v>
      </c>
      <c r="H13">
        <v>256</v>
      </c>
      <c r="I13">
        <v>80</v>
      </c>
      <c r="J13">
        <v>192</v>
      </c>
      <c r="K13">
        <f t="shared" si="5"/>
        <v>94.703866951835607</v>
      </c>
      <c r="L13">
        <f t="shared" si="5"/>
        <v>-56.031457625465634</v>
      </c>
      <c r="M13">
        <f t="shared" si="6"/>
        <v>146.27977505627754</v>
      </c>
      <c r="N13">
        <f t="shared" si="7"/>
        <v>-117.18638958685497</v>
      </c>
      <c r="O13">
        <f t="shared" si="8"/>
        <v>195</v>
      </c>
      <c r="P13">
        <f t="shared" si="8"/>
        <v>165</v>
      </c>
      <c r="Q13">
        <f t="shared" si="9"/>
        <v>146</v>
      </c>
      <c r="R13">
        <f t="shared" si="10"/>
        <v>133</v>
      </c>
    </row>
    <row r="14" spans="2:18" x14ac:dyDescent="0.15">
      <c r="B14">
        <v>10</v>
      </c>
      <c r="C14">
        <f t="shared" si="0"/>
        <v>1.308996938995747</v>
      </c>
      <c r="D14">
        <f t="shared" si="1"/>
        <v>0.93301270189221919</v>
      </c>
      <c r="E14">
        <f t="shared" si="2"/>
        <v>0.74999999999999967</v>
      </c>
      <c r="F14">
        <f t="shared" si="3"/>
        <v>0.73168886887382112</v>
      </c>
      <c r="G14">
        <f t="shared" si="4"/>
        <v>0.6816387600233339</v>
      </c>
      <c r="H14">
        <v>256</v>
      </c>
      <c r="I14">
        <v>80</v>
      </c>
      <c r="J14">
        <v>192</v>
      </c>
      <c r="K14">
        <f t="shared" si="5"/>
        <v>101.61364866762375</v>
      </c>
      <c r="L14">
        <f t="shared" si="5"/>
        <v>-63.825778364923451</v>
      </c>
      <c r="M14">
        <f t="shared" si="6"/>
        <v>156.14474946949048</v>
      </c>
      <c r="N14">
        <f t="shared" si="7"/>
        <v>-122.36088787482913</v>
      </c>
      <c r="O14">
        <f t="shared" si="8"/>
        <v>187</v>
      </c>
      <c r="P14">
        <f t="shared" si="8"/>
        <v>174</v>
      </c>
      <c r="Q14">
        <f t="shared" si="9"/>
        <v>156</v>
      </c>
      <c r="R14">
        <f t="shared" si="10"/>
        <v>130</v>
      </c>
    </row>
    <row r="15" spans="2:18" x14ac:dyDescent="0.15">
      <c r="B15">
        <v>11</v>
      </c>
      <c r="C15">
        <f t="shared" si="0"/>
        <v>1.3613568165555769</v>
      </c>
      <c r="D15">
        <f t="shared" si="1"/>
        <v>0.95677272882130038</v>
      </c>
      <c r="E15">
        <f t="shared" si="2"/>
        <v>0.7911535738303731</v>
      </c>
      <c r="F15">
        <f t="shared" si="3"/>
        <v>0.70302540257370372</v>
      </c>
      <c r="G15">
        <f t="shared" si="4"/>
        <v>0.71116473712922657</v>
      </c>
      <c r="H15">
        <v>256</v>
      </c>
      <c r="I15">
        <v>80</v>
      </c>
      <c r="J15">
        <v>192</v>
      </c>
      <c r="K15">
        <f t="shared" si="5"/>
        <v>107.66164005694853</v>
      </c>
      <c r="L15">
        <f t="shared" si="5"/>
        <v>-70.055759534266798</v>
      </c>
      <c r="M15">
        <f t="shared" si="6"/>
        <v>164.55481902728667</v>
      </c>
      <c r="N15">
        <f t="shared" si="7"/>
        <v>-126.29779174016309</v>
      </c>
      <c r="O15">
        <f t="shared" si="8"/>
        <v>179</v>
      </c>
      <c r="P15">
        <f t="shared" si="8"/>
        <v>182</v>
      </c>
      <c r="Q15">
        <f t="shared" si="9"/>
        <v>164</v>
      </c>
      <c r="R15">
        <f t="shared" si="10"/>
        <v>128</v>
      </c>
    </row>
    <row r="16" spans="2:18" x14ac:dyDescent="0.15">
      <c r="B16">
        <v>12</v>
      </c>
      <c r="C16">
        <f t="shared" si="0"/>
        <v>1.4137166941154069</v>
      </c>
      <c r="D16">
        <f t="shared" si="1"/>
        <v>0.97552825814757682</v>
      </c>
      <c r="E16">
        <f t="shared" si="2"/>
        <v>0.82363910354633196</v>
      </c>
      <c r="F16">
        <f t="shared" si="3"/>
        <v>0.67955598043024734</v>
      </c>
      <c r="G16">
        <f t="shared" si="4"/>
        <v>0.73362365655796935</v>
      </c>
      <c r="H16">
        <v>256</v>
      </c>
      <c r="I16">
        <v>80</v>
      </c>
      <c r="J16">
        <v>192</v>
      </c>
      <c r="K16">
        <f t="shared" si="5"/>
        <v>112.61368812921782</v>
      </c>
      <c r="L16">
        <f t="shared" si="5"/>
        <v>-74.794591533731534</v>
      </c>
      <c r="M16">
        <f t="shared" si="6"/>
        <v>171.30358065385536</v>
      </c>
      <c r="N16">
        <f t="shared" si="7"/>
        <v>-129.15906996815133</v>
      </c>
      <c r="O16">
        <f t="shared" si="8"/>
        <v>173</v>
      </c>
      <c r="P16">
        <f t="shared" si="8"/>
        <v>187</v>
      </c>
      <c r="Q16">
        <f t="shared" si="9"/>
        <v>171</v>
      </c>
      <c r="R16">
        <f t="shared" si="10"/>
        <v>127</v>
      </c>
    </row>
    <row r="17" spans="2:18" x14ac:dyDescent="0.15">
      <c r="B17">
        <v>13</v>
      </c>
      <c r="C17">
        <f t="shared" si="0"/>
        <v>1.4660765716752369</v>
      </c>
      <c r="D17">
        <f t="shared" si="1"/>
        <v>0.98907380036690273</v>
      </c>
      <c r="E17">
        <f t="shared" si="2"/>
        <v>0.84710067088627372</v>
      </c>
      <c r="F17">
        <f t="shared" si="3"/>
        <v>0.66215857804117784</v>
      </c>
      <c r="G17">
        <f t="shared" si="4"/>
        <v>0.7493637418013267</v>
      </c>
      <c r="H17">
        <v>256</v>
      </c>
      <c r="I17">
        <v>80</v>
      </c>
      <c r="J17">
        <v>192</v>
      </c>
      <c r="K17">
        <f t="shared" si="5"/>
        <v>116.28454003331149</v>
      </c>
      <c r="L17">
        <f t="shared" si="5"/>
        <v>-78.11574952007993</v>
      </c>
      <c r="M17">
        <f t="shared" si="6"/>
        <v>176.23363937741763</v>
      </c>
      <c r="N17">
        <f t="shared" si="7"/>
        <v>-131.08843576337415</v>
      </c>
      <c r="O17">
        <f t="shared" si="8"/>
        <v>169</v>
      </c>
      <c r="P17">
        <f t="shared" si="8"/>
        <v>191</v>
      </c>
      <c r="Q17">
        <f t="shared" si="9"/>
        <v>176</v>
      </c>
      <c r="R17">
        <f t="shared" si="10"/>
        <v>126</v>
      </c>
    </row>
    <row r="18" spans="2:18" x14ac:dyDescent="0.15">
      <c r="B18">
        <v>14</v>
      </c>
      <c r="C18">
        <f t="shared" si="0"/>
        <v>1.5184364492350668</v>
      </c>
      <c r="D18">
        <f t="shared" si="1"/>
        <v>0.99726094768413653</v>
      </c>
      <c r="E18">
        <f t="shared" si="2"/>
        <v>0.86128122600877388</v>
      </c>
      <c r="F18">
        <f t="shared" si="3"/>
        <v>0.65146596532650614</v>
      </c>
      <c r="G18">
        <f t="shared" si="4"/>
        <v>0.75867786050550035</v>
      </c>
      <c r="H18">
        <v>256</v>
      </c>
      <c r="I18">
        <v>80</v>
      </c>
      <c r="J18">
        <v>192</v>
      </c>
      <c r="K18">
        <f t="shared" si="5"/>
        <v>118.5406813161072</v>
      </c>
      <c r="L18">
        <f t="shared" si="5"/>
        <v>-80.081028566660564</v>
      </c>
      <c r="M18">
        <f t="shared" si="6"/>
        <v>179.23491015654722</v>
      </c>
      <c r="N18">
        <f t="shared" si="7"/>
        <v>-132.19830579278107</v>
      </c>
      <c r="O18">
        <f t="shared" si="8"/>
        <v>166</v>
      </c>
      <c r="P18">
        <f t="shared" si="8"/>
        <v>194</v>
      </c>
      <c r="Q18">
        <f t="shared" si="9"/>
        <v>179</v>
      </c>
      <c r="R18">
        <f t="shared" si="10"/>
        <v>125</v>
      </c>
    </row>
    <row r="19" spans="2:18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0.8660254037844386</v>
      </c>
      <c r="F19">
        <f t="shared" si="3"/>
        <v>0.647859344852457</v>
      </c>
      <c r="G19">
        <f t="shared" si="4"/>
        <v>0.7617599814162892</v>
      </c>
      <c r="H19">
        <v>256</v>
      </c>
      <c r="I19">
        <v>80</v>
      </c>
      <c r="J19">
        <v>192</v>
      </c>
      <c r="K19">
        <f t="shared" si="5"/>
        <v>119.30167823613158</v>
      </c>
      <c r="L19">
        <f t="shared" si="5"/>
        <v>-80.731356078837024</v>
      </c>
      <c r="M19">
        <f t="shared" si="6"/>
        <v>180.24247674943473</v>
      </c>
      <c r="N19">
        <f t="shared" si="7"/>
        <v>-132.56010366703359</v>
      </c>
      <c r="O19">
        <f t="shared" si="8"/>
        <v>165</v>
      </c>
      <c r="P19">
        <f t="shared" si="8"/>
        <v>195</v>
      </c>
      <c r="Q19">
        <f t="shared" si="9"/>
        <v>180</v>
      </c>
      <c r="R19">
        <f t="shared" si="10"/>
        <v>125</v>
      </c>
    </row>
    <row r="20" spans="2:18" x14ac:dyDescent="0.15">
      <c r="B20">
        <v>16</v>
      </c>
      <c r="C20">
        <f t="shared" si="0"/>
        <v>1.6231562043547263</v>
      </c>
      <c r="D20">
        <f t="shared" si="1"/>
        <v>0.99726094768413653</v>
      </c>
      <c r="E20">
        <f t="shared" si="2"/>
        <v>0.86128122600877388</v>
      </c>
      <c r="F20">
        <f t="shared" si="3"/>
        <v>0.65146596532650614</v>
      </c>
      <c r="G20">
        <f t="shared" si="4"/>
        <v>0.75867786050550035</v>
      </c>
      <c r="H20">
        <v>256</v>
      </c>
      <c r="I20">
        <v>80</v>
      </c>
      <c r="J20">
        <v>192</v>
      </c>
      <c r="K20">
        <f t="shared" si="5"/>
        <v>118.5406813161072</v>
      </c>
      <c r="L20">
        <f t="shared" si="5"/>
        <v>-80.081028566660564</v>
      </c>
      <c r="M20">
        <f t="shared" si="6"/>
        <v>179.23491015654722</v>
      </c>
      <c r="N20">
        <f t="shared" si="7"/>
        <v>-132.19830579278107</v>
      </c>
      <c r="O20">
        <f t="shared" si="8"/>
        <v>166</v>
      </c>
      <c r="P20">
        <f t="shared" si="8"/>
        <v>194</v>
      </c>
      <c r="Q20">
        <f t="shared" si="9"/>
        <v>179</v>
      </c>
      <c r="R20">
        <f t="shared" si="10"/>
        <v>125</v>
      </c>
    </row>
    <row r="21" spans="2:18" x14ac:dyDescent="0.15">
      <c r="B21">
        <v>17</v>
      </c>
      <c r="C21">
        <f t="shared" si="0"/>
        <v>1.6755160819145565</v>
      </c>
      <c r="D21">
        <f t="shared" si="1"/>
        <v>0.98907380036690273</v>
      </c>
      <c r="E21">
        <f t="shared" si="2"/>
        <v>0.84710067088627372</v>
      </c>
      <c r="F21">
        <f t="shared" si="3"/>
        <v>0.66215857804117784</v>
      </c>
      <c r="G21">
        <f t="shared" si="4"/>
        <v>0.7493637418013267</v>
      </c>
      <c r="H21">
        <v>256</v>
      </c>
      <c r="I21">
        <v>80</v>
      </c>
      <c r="J21">
        <v>192</v>
      </c>
      <c r="K21">
        <f t="shared" si="5"/>
        <v>116.28454003331149</v>
      </c>
      <c r="L21">
        <f t="shared" si="5"/>
        <v>-78.11574952007993</v>
      </c>
      <c r="M21">
        <f t="shared" si="6"/>
        <v>176.23363937741763</v>
      </c>
      <c r="N21">
        <f t="shared" si="7"/>
        <v>-131.08843576337415</v>
      </c>
      <c r="O21">
        <f t="shared" si="8"/>
        <v>169</v>
      </c>
      <c r="P21">
        <f t="shared" si="8"/>
        <v>191</v>
      </c>
      <c r="Q21">
        <f t="shared" si="9"/>
        <v>176</v>
      </c>
      <c r="R21">
        <f t="shared" si="10"/>
        <v>126</v>
      </c>
    </row>
    <row r="22" spans="2:18" x14ac:dyDescent="0.15">
      <c r="B22">
        <v>18</v>
      </c>
      <c r="C22">
        <f t="shared" si="0"/>
        <v>1.7278759594743862</v>
      </c>
      <c r="D22">
        <f t="shared" si="1"/>
        <v>0.97552825814757682</v>
      </c>
      <c r="E22">
        <f t="shared" si="2"/>
        <v>0.82363910354633196</v>
      </c>
      <c r="F22">
        <f t="shared" si="3"/>
        <v>0.67955598043024734</v>
      </c>
      <c r="G22">
        <f t="shared" si="4"/>
        <v>0.73362365655796935</v>
      </c>
      <c r="H22">
        <v>256</v>
      </c>
      <c r="I22">
        <v>80</v>
      </c>
      <c r="J22">
        <v>192</v>
      </c>
      <c r="K22">
        <f t="shared" si="5"/>
        <v>112.61368812921782</v>
      </c>
      <c r="L22">
        <f t="shared" si="5"/>
        <v>-74.794591533731534</v>
      </c>
      <c r="M22">
        <f t="shared" si="6"/>
        <v>171.30358065385536</v>
      </c>
      <c r="N22">
        <f t="shared" si="7"/>
        <v>-129.15906996815133</v>
      </c>
      <c r="O22">
        <f t="shared" si="8"/>
        <v>173</v>
      </c>
      <c r="P22">
        <f t="shared" si="8"/>
        <v>187</v>
      </c>
      <c r="Q22">
        <f t="shared" si="9"/>
        <v>171</v>
      </c>
      <c r="R22">
        <f t="shared" si="10"/>
        <v>127</v>
      </c>
    </row>
    <row r="23" spans="2:18" x14ac:dyDescent="0.15">
      <c r="B23">
        <v>19</v>
      </c>
      <c r="C23">
        <f t="shared" si="0"/>
        <v>1.780235837034216</v>
      </c>
      <c r="D23">
        <f t="shared" si="1"/>
        <v>0.9567727288213006</v>
      </c>
      <c r="E23">
        <f t="shared" si="2"/>
        <v>0.79115357383037344</v>
      </c>
      <c r="F23">
        <f t="shared" si="3"/>
        <v>0.7030254025737035</v>
      </c>
      <c r="G23">
        <f t="shared" si="4"/>
        <v>0.71116473712922679</v>
      </c>
      <c r="H23">
        <v>256</v>
      </c>
      <c r="I23">
        <v>80</v>
      </c>
      <c r="J23">
        <v>192</v>
      </c>
      <c r="K23">
        <f t="shared" si="5"/>
        <v>107.66164005694856</v>
      </c>
      <c r="L23">
        <f t="shared" si="5"/>
        <v>-70.055759534266855</v>
      </c>
      <c r="M23">
        <f t="shared" si="6"/>
        <v>164.5548190272867</v>
      </c>
      <c r="N23">
        <f t="shared" si="7"/>
        <v>-126.29779174016313</v>
      </c>
      <c r="O23">
        <f t="shared" si="8"/>
        <v>179</v>
      </c>
      <c r="P23">
        <f t="shared" si="8"/>
        <v>182</v>
      </c>
      <c r="Q23">
        <f t="shared" si="9"/>
        <v>164</v>
      </c>
      <c r="R23">
        <f t="shared" si="10"/>
        <v>128</v>
      </c>
    </row>
    <row r="24" spans="2:18" x14ac:dyDescent="0.15">
      <c r="B24">
        <v>20</v>
      </c>
      <c r="C24">
        <f t="shared" si="0"/>
        <v>1.8325957145940459</v>
      </c>
      <c r="D24">
        <f t="shared" si="1"/>
        <v>0.93301270189221941</v>
      </c>
      <c r="E24">
        <f t="shared" si="2"/>
        <v>0.75000000000000011</v>
      </c>
      <c r="F24">
        <f t="shared" si="3"/>
        <v>0.73168886887382079</v>
      </c>
      <c r="G24">
        <f t="shared" si="4"/>
        <v>0.68163876002333423</v>
      </c>
      <c r="H24">
        <v>256</v>
      </c>
      <c r="I24">
        <v>80</v>
      </c>
      <c r="J24">
        <v>192</v>
      </c>
      <c r="K24">
        <f t="shared" si="5"/>
        <v>101.61364866762381</v>
      </c>
      <c r="L24">
        <f t="shared" si="5"/>
        <v>-63.825778364923536</v>
      </c>
      <c r="M24">
        <f t="shared" si="6"/>
        <v>156.14474946949053</v>
      </c>
      <c r="N24">
        <f t="shared" si="7"/>
        <v>-122.3608878748292</v>
      </c>
      <c r="O24">
        <f t="shared" si="8"/>
        <v>187</v>
      </c>
      <c r="P24">
        <f t="shared" si="8"/>
        <v>174</v>
      </c>
      <c r="Q24">
        <f t="shared" si="9"/>
        <v>156</v>
      </c>
      <c r="R24">
        <f t="shared" si="10"/>
        <v>130</v>
      </c>
    </row>
    <row r="25" spans="2:18" x14ac:dyDescent="0.15">
      <c r="B25">
        <v>21</v>
      </c>
      <c r="C25">
        <f t="shared" si="0"/>
        <v>1.8849555921538759</v>
      </c>
      <c r="D25">
        <f t="shared" si="1"/>
        <v>0.90450849718747384</v>
      </c>
      <c r="E25">
        <f t="shared" si="2"/>
        <v>0.70062926922203694</v>
      </c>
      <c r="F25">
        <f t="shared" si="3"/>
        <v>0.76443664951736656</v>
      </c>
      <c r="G25">
        <f t="shared" si="4"/>
        <v>0.64469885130552462</v>
      </c>
      <c r="H25">
        <v>256</v>
      </c>
      <c r="I25">
        <v>80</v>
      </c>
      <c r="J25">
        <v>192</v>
      </c>
      <c r="K25">
        <f t="shared" si="5"/>
        <v>94.703866951835664</v>
      </c>
      <c r="L25">
        <f t="shared" si="5"/>
        <v>-56.031457625465691</v>
      </c>
      <c r="M25">
        <f t="shared" si="6"/>
        <v>146.27977505627763</v>
      </c>
      <c r="N25">
        <f t="shared" si="7"/>
        <v>-117.18638958685501</v>
      </c>
      <c r="O25">
        <f t="shared" si="8"/>
        <v>195</v>
      </c>
      <c r="P25">
        <f t="shared" si="8"/>
        <v>165</v>
      </c>
      <c r="Q25">
        <f t="shared" si="9"/>
        <v>146</v>
      </c>
      <c r="R25">
        <f t="shared" si="10"/>
        <v>133</v>
      </c>
    </row>
    <row r="26" spans="2:18" x14ac:dyDescent="0.15">
      <c r="B26">
        <v>22</v>
      </c>
      <c r="C26">
        <f t="shared" si="0"/>
        <v>1.9373154697137056</v>
      </c>
      <c r="D26">
        <f t="shared" si="1"/>
        <v>0.87157241273869734</v>
      </c>
      <c r="E26">
        <f t="shared" si="2"/>
        <v>0.6435822975543769</v>
      </c>
      <c r="F26">
        <f t="shared" si="3"/>
        <v>0.79995128410675209</v>
      </c>
      <c r="G26">
        <f t="shared" si="4"/>
        <v>0.60006494903131813</v>
      </c>
      <c r="H26">
        <v>256</v>
      </c>
      <c r="I26">
        <v>80</v>
      </c>
      <c r="J26">
        <v>192</v>
      </c>
      <c r="K26">
        <f t="shared" si="5"/>
        <v>87.210279053475318</v>
      </c>
      <c r="L26">
        <f t="shared" si="5"/>
        <v>-46.613704245608119</v>
      </c>
      <c r="M26">
        <f t="shared" si="6"/>
        <v>135.21547497598078</v>
      </c>
      <c r="N26">
        <f t="shared" si="7"/>
        <v>-110.60980697414828</v>
      </c>
      <c r="O26">
        <f t="shared" si="8"/>
        <v>204</v>
      </c>
      <c r="P26">
        <f t="shared" si="8"/>
        <v>153</v>
      </c>
      <c r="Q26">
        <f t="shared" si="9"/>
        <v>135</v>
      </c>
      <c r="R26">
        <f t="shared" si="10"/>
        <v>136</v>
      </c>
    </row>
    <row r="27" spans="2:18" x14ac:dyDescent="0.15">
      <c r="B27">
        <v>23</v>
      </c>
      <c r="C27">
        <f t="shared" si="0"/>
        <v>1.9896753472735356</v>
      </c>
      <c r="D27">
        <f t="shared" si="1"/>
        <v>0.83456530317942923</v>
      </c>
      <c r="E27">
        <f t="shared" si="2"/>
        <v>0.57948410355645663</v>
      </c>
      <c r="F27">
        <f t="shared" si="3"/>
        <v>0.83674526219070822</v>
      </c>
      <c r="G27">
        <f t="shared" si="4"/>
        <v>0.54759233577671895</v>
      </c>
      <c r="H27">
        <v>256</v>
      </c>
      <c r="I27">
        <v>80</v>
      </c>
      <c r="J27">
        <v>192</v>
      </c>
      <c r="K27">
        <f t="shared" si="5"/>
        <v>79.446749677760579</v>
      </c>
      <c r="L27">
        <f t="shared" si="5"/>
        <v>-35.541982848887699</v>
      </c>
      <c r="M27">
        <f t="shared" si="6"/>
        <v>123.2541365398981</v>
      </c>
      <c r="N27">
        <f t="shared" si="7"/>
        <v>-102.48160382414436</v>
      </c>
      <c r="O27">
        <f t="shared" si="8"/>
        <v>214</v>
      </c>
      <c r="P27">
        <f t="shared" si="8"/>
        <v>140</v>
      </c>
      <c r="Q27">
        <f t="shared" si="9"/>
        <v>123</v>
      </c>
      <c r="R27">
        <f t="shared" si="10"/>
        <v>140</v>
      </c>
    </row>
    <row r="28" spans="2:18" x14ac:dyDescent="0.15">
      <c r="B28">
        <v>24</v>
      </c>
      <c r="C28">
        <f t="shared" si="0"/>
        <v>2.0420352248333655</v>
      </c>
      <c r="D28">
        <f t="shared" si="1"/>
        <v>0.79389262614623668</v>
      </c>
      <c r="E28">
        <f t="shared" si="2"/>
        <v>0.50903696045512736</v>
      </c>
      <c r="F28">
        <f t="shared" si="3"/>
        <v>0.87321423685543031</v>
      </c>
      <c r="G28">
        <f t="shared" si="4"/>
        <v>0.48733653316059578</v>
      </c>
      <c r="H28">
        <v>256</v>
      </c>
      <c r="I28">
        <v>80</v>
      </c>
      <c r="J28">
        <v>192</v>
      </c>
      <c r="K28">
        <f t="shared" si="5"/>
        <v>71.751796023504198</v>
      </c>
      <c r="L28">
        <f t="shared" si="5"/>
        <v>-22.828008496885715</v>
      </c>
      <c r="M28">
        <f t="shared" si="6"/>
        <v>110.73871867635185</v>
      </c>
      <c r="N28">
        <f t="shared" si="7"/>
        <v>-92.68514744532014</v>
      </c>
      <c r="O28">
        <f t="shared" si="8"/>
        <v>223</v>
      </c>
      <c r="P28">
        <f t="shared" si="8"/>
        <v>124</v>
      </c>
      <c r="Q28">
        <f t="shared" si="9"/>
        <v>110</v>
      </c>
      <c r="R28">
        <f t="shared" si="10"/>
        <v>145</v>
      </c>
    </row>
    <row r="29" spans="2:18" x14ac:dyDescent="0.15">
      <c r="B29">
        <v>25</v>
      </c>
      <c r="C29">
        <f t="shared" si="0"/>
        <v>2.0943951023931957</v>
      </c>
      <c r="D29">
        <f t="shared" si="1"/>
        <v>0.74999999999999967</v>
      </c>
      <c r="E29">
        <f t="shared" si="2"/>
        <v>0.43301270189221874</v>
      </c>
      <c r="F29">
        <f t="shared" si="3"/>
        <v>0.90770571906660857</v>
      </c>
      <c r="G29">
        <f t="shared" si="4"/>
        <v>0.4196073492847463</v>
      </c>
      <c r="H29">
        <v>256</v>
      </c>
      <c r="I29">
        <v>80</v>
      </c>
      <c r="J29">
        <v>192</v>
      </c>
      <c r="K29">
        <f t="shared" si="5"/>
        <v>64.474093276945581</v>
      </c>
      <c r="L29">
        <f t="shared" si="5"/>
        <v>-8.5371506990814652</v>
      </c>
      <c r="M29">
        <f t="shared" si="6"/>
        <v>98.042681219725281</v>
      </c>
      <c r="N29">
        <f t="shared" si="7"/>
        <v>-81.153608224410149</v>
      </c>
      <c r="O29">
        <f t="shared" si="8"/>
        <v>232</v>
      </c>
      <c r="P29">
        <f t="shared" si="8"/>
        <v>107</v>
      </c>
      <c r="Q29">
        <f t="shared" si="9"/>
        <v>98</v>
      </c>
      <c r="R29">
        <f t="shared" si="10"/>
        <v>151</v>
      </c>
    </row>
    <row r="30" spans="2:18" x14ac:dyDescent="0.15">
      <c r="B30">
        <v>26</v>
      </c>
      <c r="C30">
        <f t="shared" si="0"/>
        <v>2.1467549799530254</v>
      </c>
      <c r="D30">
        <f t="shared" si="1"/>
        <v>0.70336832153789997</v>
      </c>
      <c r="E30">
        <f t="shared" si="2"/>
        <v>0.35224426555364674</v>
      </c>
      <c r="F30">
        <f t="shared" si="3"/>
        <v>0.93860079407431984</v>
      </c>
      <c r="G30">
        <f t="shared" si="4"/>
        <v>0.3450051439660809</v>
      </c>
      <c r="H30">
        <v>256</v>
      </c>
      <c r="I30">
        <v>80</v>
      </c>
      <c r="J30">
        <v>192</v>
      </c>
      <c r="K30">
        <f t="shared" si="5"/>
        <v>57.955232450318505</v>
      </c>
      <c r="L30">
        <f t="shared" si="5"/>
        <v>7.2039146231569333</v>
      </c>
      <c r="M30">
        <f t="shared" si="6"/>
        <v>85.555643967604979</v>
      </c>
      <c r="N30">
        <f t="shared" si="7"/>
        <v>-67.884148902788652</v>
      </c>
      <c r="O30">
        <f t="shared" si="8"/>
        <v>240</v>
      </c>
      <c r="P30">
        <f t="shared" si="8"/>
        <v>88</v>
      </c>
      <c r="Q30">
        <f t="shared" si="9"/>
        <v>85</v>
      </c>
      <c r="R30">
        <f t="shared" si="10"/>
        <v>158</v>
      </c>
    </row>
    <row r="31" spans="2:18" x14ac:dyDescent="0.15">
      <c r="B31">
        <v>27</v>
      </c>
      <c r="C31">
        <f t="shared" si="0"/>
        <v>2.1991148575128552</v>
      </c>
      <c r="D31">
        <f t="shared" si="1"/>
        <v>0.65450849718747373</v>
      </c>
      <c r="E31">
        <f t="shared" si="2"/>
        <v>0.26761656732981748</v>
      </c>
      <c r="F31">
        <f t="shared" si="3"/>
        <v>0.96440389471426236</v>
      </c>
      <c r="G31">
        <f t="shared" si="4"/>
        <v>0.26443359820560219</v>
      </c>
      <c r="H31">
        <v>256</v>
      </c>
      <c r="I31">
        <v>80</v>
      </c>
      <c r="J31">
        <v>192</v>
      </c>
      <c r="K31">
        <f t="shared" si="5"/>
        <v>52.510778215290657</v>
      </c>
      <c r="L31">
        <f t="shared" si="5"/>
        <v>24.204510778617937</v>
      </c>
      <c r="M31">
        <f t="shared" si="6"/>
        <v>73.665466071738834</v>
      </c>
      <c r="N31">
        <f t="shared" si="7"/>
        <v>-52.947800798523055</v>
      </c>
      <c r="O31">
        <f t="shared" si="8"/>
        <v>246</v>
      </c>
      <c r="P31">
        <f t="shared" si="8"/>
        <v>67</v>
      </c>
      <c r="Q31">
        <f t="shared" si="9"/>
        <v>73</v>
      </c>
      <c r="R31">
        <f t="shared" si="10"/>
        <v>165</v>
      </c>
    </row>
    <row r="32" spans="2:18" x14ac:dyDescent="0.15">
      <c r="B32">
        <v>28</v>
      </c>
      <c r="C32">
        <f t="shared" si="0"/>
        <v>2.2514747350726854</v>
      </c>
      <c r="D32">
        <f t="shared" si="1"/>
        <v>0.60395584540887948</v>
      </c>
      <c r="E32">
        <f t="shared" si="2"/>
        <v>0.18005680599195506</v>
      </c>
      <c r="F32">
        <f t="shared" si="3"/>
        <v>0.98383352124822632</v>
      </c>
      <c r="G32">
        <f t="shared" si="4"/>
        <v>0.17908546135383455</v>
      </c>
      <c r="H32">
        <v>256</v>
      </c>
      <c r="I32">
        <v>80</v>
      </c>
      <c r="J32">
        <v>192</v>
      </c>
      <c r="K32">
        <f t="shared" si="5"/>
        <v>48.411127016624249</v>
      </c>
      <c r="L32">
        <f t="shared" si="5"/>
        <v>42.212967654340908</v>
      </c>
      <c r="M32">
        <f t="shared" si="6"/>
        <v>62.737963924931009</v>
      </c>
      <c r="N32">
        <f t="shared" si="7"/>
        <v>-36.493714045517201</v>
      </c>
      <c r="O32">
        <f t="shared" si="8"/>
        <v>251</v>
      </c>
      <c r="P32">
        <f t="shared" si="8"/>
        <v>45</v>
      </c>
      <c r="Q32">
        <f t="shared" si="9"/>
        <v>62</v>
      </c>
      <c r="R32">
        <f t="shared" si="10"/>
        <v>173</v>
      </c>
    </row>
    <row r="33" spans="2:18" x14ac:dyDescent="0.15">
      <c r="B33">
        <v>29</v>
      </c>
      <c r="C33">
        <f t="shared" si="0"/>
        <v>2.3038346126325151</v>
      </c>
      <c r="D33">
        <f t="shared" si="1"/>
        <v>0.55226423163382676</v>
      </c>
      <c r="E33">
        <f t="shared" si="2"/>
        <v>9.0524304608336506E-2</v>
      </c>
      <c r="F33">
        <f t="shared" si="3"/>
        <v>0.99590547238524751</v>
      </c>
      <c r="G33">
        <f t="shared" si="4"/>
        <v>9.0400719428094231E-2</v>
      </c>
      <c r="H33">
        <v>256</v>
      </c>
      <c r="I33">
        <v>80</v>
      </c>
      <c r="J33">
        <v>192</v>
      </c>
      <c r="K33">
        <f t="shared" si="5"/>
        <v>45.863945326712781</v>
      </c>
      <c r="L33">
        <f t="shared" si="5"/>
        <v>60.925448200672122</v>
      </c>
      <c r="M33">
        <f t="shared" si="6"/>
        <v>53.09600288096032</v>
      </c>
      <c r="N33">
        <f t="shared" si="7"/>
        <v>-18.746989590147678</v>
      </c>
      <c r="O33">
        <f t="shared" si="8"/>
        <v>254</v>
      </c>
      <c r="P33">
        <f t="shared" si="8"/>
        <v>23</v>
      </c>
      <c r="Q33">
        <f t="shared" si="9"/>
        <v>53</v>
      </c>
      <c r="R33">
        <f t="shared" si="10"/>
        <v>182</v>
      </c>
    </row>
    <row r="34" spans="2:18" x14ac:dyDescent="0.15">
      <c r="B34">
        <v>30</v>
      </c>
      <c r="C34">
        <f t="shared" si="0"/>
        <v>2.3561944901923448</v>
      </c>
      <c r="D34">
        <f t="shared" si="1"/>
        <v>0.50000000000000011</v>
      </c>
      <c r="E34">
        <f t="shared" si="2"/>
        <v>1.9229626863835638E-16</v>
      </c>
      <c r="F34">
        <f t="shared" si="3"/>
        <v>1</v>
      </c>
      <c r="G34">
        <f t="shared" si="4"/>
        <v>1.9229626863835638E-16</v>
      </c>
      <c r="H34">
        <v>256</v>
      </c>
      <c r="I34">
        <v>80</v>
      </c>
      <c r="J34">
        <v>192</v>
      </c>
      <c r="K34">
        <f t="shared" si="5"/>
        <v>45</v>
      </c>
      <c r="L34">
        <f t="shared" si="5"/>
        <v>79.999999999999957</v>
      </c>
      <c r="M34">
        <f t="shared" si="6"/>
        <v>45.000000000000014</v>
      </c>
      <c r="N34">
        <f t="shared" si="7"/>
        <v>0</v>
      </c>
      <c r="O34">
        <f t="shared" si="8"/>
        <v>256</v>
      </c>
      <c r="P34">
        <f t="shared" si="8"/>
        <v>0</v>
      </c>
      <c r="Q34">
        <f t="shared" si="9"/>
        <v>45</v>
      </c>
      <c r="R34">
        <f t="shared" si="10"/>
        <v>192</v>
      </c>
    </row>
    <row r="35" spans="2:18" x14ac:dyDescent="0.15">
      <c r="B35">
        <v>31</v>
      </c>
      <c r="C35">
        <f t="shared" si="0"/>
        <v>2.4085543677521746</v>
      </c>
      <c r="D35">
        <f t="shared" si="1"/>
        <v>0.44773576836617346</v>
      </c>
      <c r="E35">
        <f t="shared" si="2"/>
        <v>-9.0524304608336117E-2</v>
      </c>
      <c r="F35">
        <f t="shared" si="3"/>
        <v>0.99590547238524751</v>
      </c>
      <c r="G35">
        <f t="shared" si="4"/>
        <v>-9.0400719428093843E-2</v>
      </c>
      <c r="H35">
        <v>256</v>
      </c>
      <c r="I35">
        <v>80</v>
      </c>
      <c r="J35">
        <v>192</v>
      </c>
      <c r="K35">
        <f t="shared" si="5"/>
        <v>45.863945326712781</v>
      </c>
      <c r="L35">
        <f t="shared" si="5"/>
        <v>99.074551799327793</v>
      </c>
      <c r="M35">
        <f t="shared" si="6"/>
        <v>38.631887772465276</v>
      </c>
      <c r="N35">
        <f t="shared" si="7"/>
        <v>19.402114008507994</v>
      </c>
      <c r="O35">
        <f t="shared" si="8"/>
        <v>254</v>
      </c>
      <c r="P35">
        <f t="shared" si="8"/>
        <v>-24</v>
      </c>
      <c r="Q35">
        <f t="shared" si="9"/>
        <v>38</v>
      </c>
      <c r="R35">
        <f t="shared" si="10"/>
        <v>201</v>
      </c>
    </row>
    <row r="36" spans="2:18" x14ac:dyDescent="0.15">
      <c r="B36">
        <v>32</v>
      </c>
      <c r="C36">
        <f t="shared" si="0"/>
        <v>2.4609142453120043</v>
      </c>
      <c r="D36">
        <f t="shared" si="1"/>
        <v>0.39604415459112069</v>
      </c>
      <c r="E36">
        <f t="shared" si="2"/>
        <v>-0.18005680599195475</v>
      </c>
      <c r="F36">
        <f t="shared" si="3"/>
        <v>0.98383352124822643</v>
      </c>
      <c r="G36">
        <f t="shared" si="4"/>
        <v>-0.17908546135383427</v>
      </c>
      <c r="H36">
        <v>256</v>
      </c>
      <c r="I36">
        <v>80</v>
      </c>
      <c r="J36">
        <v>192</v>
      </c>
      <c r="K36">
        <f t="shared" si="5"/>
        <v>48.411127016624221</v>
      </c>
      <c r="L36">
        <f t="shared" si="5"/>
        <v>117.78703234565903</v>
      </c>
      <c r="M36">
        <f t="shared" si="6"/>
        <v>34.084290108317475</v>
      </c>
      <c r="N36">
        <f t="shared" si="7"/>
        <v>39.08035064580092</v>
      </c>
      <c r="O36">
        <f t="shared" si="8"/>
        <v>251</v>
      </c>
      <c r="P36">
        <f t="shared" si="8"/>
        <v>-46</v>
      </c>
      <c r="Q36">
        <f t="shared" si="9"/>
        <v>34</v>
      </c>
      <c r="R36">
        <f t="shared" si="10"/>
        <v>211</v>
      </c>
    </row>
    <row r="37" spans="2:18" x14ac:dyDescent="0.15">
      <c r="B37">
        <v>33</v>
      </c>
      <c r="C37">
        <f t="shared" si="0"/>
        <v>2.5132741228718345</v>
      </c>
      <c r="D37">
        <f t="shared" si="1"/>
        <v>0.34549150281252644</v>
      </c>
      <c r="E37">
        <f t="shared" si="2"/>
        <v>-0.26761656732981715</v>
      </c>
      <c r="F37">
        <f t="shared" si="3"/>
        <v>0.96440389471426247</v>
      </c>
      <c r="G37">
        <f t="shared" si="4"/>
        <v>-0.26443359820560192</v>
      </c>
      <c r="H37">
        <v>256</v>
      </c>
      <c r="I37">
        <v>80</v>
      </c>
      <c r="J37">
        <v>192</v>
      </c>
      <c r="K37">
        <f t="shared" si="5"/>
        <v>52.510778215290628</v>
      </c>
      <c r="L37">
        <f t="shared" si="5"/>
        <v>135.79548922138201</v>
      </c>
      <c r="M37">
        <f t="shared" si="6"/>
        <v>31.356090358842476</v>
      </c>
      <c r="N37">
        <f t="shared" si="7"/>
        <v>58.643177644241021</v>
      </c>
      <c r="O37">
        <f t="shared" si="8"/>
        <v>246</v>
      </c>
      <c r="P37">
        <f t="shared" si="8"/>
        <v>-68</v>
      </c>
      <c r="Q37">
        <f t="shared" si="9"/>
        <v>31</v>
      </c>
      <c r="R37">
        <f t="shared" si="10"/>
        <v>221</v>
      </c>
    </row>
    <row r="38" spans="2:18" x14ac:dyDescent="0.15">
      <c r="B38">
        <v>34</v>
      </c>
      <c r="C38">
        <f t="shared" si="0"/>
        <v>2.5656340004316647</v>
      </c>
      <c r="D38">
        <f t="shared" si="1"/>
        <v>0.29663167846209976</v>
      </c>
      <c r="E38">
        <f t="shared" si="2"/>
        <v>-0.35224426555364718</v>
      </c>
      <c r="F38">
        <f t="shared" si="3"/>
        <v>0.93860079407431973</v>
      </c>
      <c r="G38">
        <f t="shared" si="4"/>
        <v>-0.34500514396608134</v>
      </c>
      <c r="H38">
        <v>256</v>
      </c>
      <c r="I38">
        <v>80</v>
      </c>
      <c r="J38">
        <v>192</v>
      </c>
      <c r="K38">
        <f t="shared" si="5"/>
        <v>57.955232450318533</v>
      </c>
      <c r="L38">
        <f t="shared" si="5"/>
        <v>152.79608537684317</v>
      </c>
      <c r="M38">
        <f t="shared" si="6"/>
        <v>30.354820933032027</v>
      </c>
      <c r="N38">
        <f t="shared" si="7"/>
        <v>77.70802185089758</v>
      </c>
      <c r="O38">
        <f t="shared" si="8"/>
        <v>240</v>
      </c>
      <c r="P38">
        <f t="shared" si="8"/>
        <v>-89</v>
      </c>
      <c r="Q38">
        <f t="shared" si="9"/>
        <v>30</v>
      </c>
      <c r="R38">
        <f t="shared" si="10"/>
        <v>230</v>
      </c>
    </row>
    <row r="39" spans="2:18" x14ac:dyDescent="0.15">
      <c r="B39">
        <v>35</v>
      </c>
      <c r="C39">
        <f t="shared" si="0"/>
        <v>2.617993877991494</v>
      </c>
      <c r="D39">
        <f t="shared" si="1"/>
        <v>0.25000000000000033</v>
      </c>
      <c r="E39">
        <f t="shared" si="2"/>
        <v>-0.43301270189221874</v>
      </c>
      <c r="F39">
        <f t="shared" si="3"/>
        <v>0.90770571906660857</v>
      </c>
      <c r="G39">
        <f t="shared" si="4"/>
        <v>-0.4196073492847463</v>
      </c>
      <c r="H39">
        <v>256</v>
      </c>
      <c r="I39">
        <v>80</v>
      </c>
      <c r="J39">
        <v>192</v>
      </c>
      <c r="K39">
        <f t="shared" si="5"/>
        <v>64.474093276945581</v>
      </c>
      <c r="L39">
        <f t="shared" si="5"/>
        <v>168.53715069908145</v>
      </c>
      <c r="M39">
        <f t="shared" si="6"/>
        <v>30.905505334165881</v>
      </c>
      <c r="N39">
        <f t="shared" si="7"/>
        <v>95.920693173752767</v>
      </c>
      <c r="O39">
        <f t="shared" si="8"/>
        <v>232</v>
      </c>
      <c r="P39">
        <f t="shared" si="8"/>
        <v>-108</v>
      </c>
      <c r="Q39">
        <f t="shared" si="9"/>
        <v>30</v>
      </c>
      <c r="R39">
        <f t="shared" si="10"/>
        <v>239</v>
      </c>
    </row>
    <row r="40" spans="2:18" x14ac:dyDescent="0.15">
      <c r="B40">
        <v>36</v>
      </c>
      <c r="C40">
        <f t="shared" si="0"/>
        <v>2.6703537555513241</v>
      </c>
      <c r="D40">
        <f t="shared" si="1"/>
        <v>0.20610737385376349</v>
      </c>
      <c r="E40">
        <f t="shared" si="2"/>
        <v>-0.50903696045512703</v>
      </c>
      <c r="F40">
        <f t="shared" si="3"/>
        <v>0.87321423685543043</v>
      </c>
      <c r="G40">
        <f t="shared" si="4"/>
        <v>-0.4873365331605955</v>
      </c>
      <c r="H40">
        <v>256</v>
      </c>
      <c r="I40">
        <v>80</v>
      </c>
      <c r="J40">
        <v>192</v>
      </c>
      <c r="K40">
        <f t="shared" si="5"/>
        <v>71.75179602350417</v>
      </c>
      <c r="L40">
        <f t="shared" si="5"/>
        <v>182.82800849688564</v>
      </c>
      <c r="M40">
        <f t="shared" si="6"/>
        <v>32.764873370656531</v>
      </c>
      <c r="N40">
        <f t="shared" si="7"/>
        <v>112.9708695484512</v>
      </c>
      <c r="O40">
        <f t="shared" si="8"/>
        <v>223</v>
      </c>
      <c r="P40">
        <f t="shared" si="8"/>
        <v>-125</v>
      </c>
      <c r="Q40">
        <f t="shared" si="9"/>
        <v>32</v>
      </c>
      <c r="R40">
        <f t="shared" si="10"/>
        <v>248</v>
      </c>
    </row>
    <row r="41" spans="2:18" x14ac:dyDescent="0.15">
      <c r="B41">
        <v>37</v>
      </c>
      <c r="C41">
        <f t="shared" si="0"/>
        <v>2.7227136331111543</v>
      </c>
      <c r="D41">
        <f t="shared" si="1"/>
        <v>0.16543469682057077</v>
      </c>
      <c r="E41">
        <f t="shared" si="2"/>
        <v>-0.57948410355645663</v>
      </c>
      <c r="F41">
        <f t="shared" si="3"/>
        <v>0.83674526219070822</v>
      </c>
      <c r="G41">
        <f t="shared" si="4"/>
        <v>-0.54759233577671895</v>
      </c>
      <c r="H41">
        <v>256</v>
      </c>
      <c r="I41">
        <v>80</v>
      </c>
      <c r="J41">
        <v>192</v>
      </c>
      <c r="K41">
        <f t="shared" si="5"/>
        <v>79.446749677760579</v>
      </c>
      <c r="L41">
        <f t="shared" si="5"/>
        <v>195.5419828488877</v>
      </c>
      <c r="M41">
        <f t="shared" si="6"/>
        <v>35.639362815623059</v>
      </c>
      <c r="N41">
        <f t="shared" si="7"/>
        <v>128.60236187363103</v>
      </c>
      <c r="O41">
        <f t="shared" si="8"/>
        <v>214</v>
      </c>
      <c r="P41">
        <f t="shared" si="8"/>
        <v>-141</v>
      </c>
      <c r="Q41">
        <f t="shared" si="9"/>
        <v>35</v>
      </c>
      <c r="R41">
        <f t="shared" si="10"/>
        <v>256</v>
      </c>
    </row>
    <row r="42" spans="2:18" x14ac:dyDescent="0.15">
      <c r="B42">
        <v>38</v>
      </c>
      <c r="C42">
        <f t="shared" si="0"/>
        <v>2.7750735106709836</v>
      </c>
      <c r="D42">
        <f t="shared" si="1"/>
        <v>0.12842758726130316</v>
      </c>
      <c r="E42">
        <f t="shared" si="2"/>
        <v>-0.64358229755437601</v>
      </c>
      <c r="F42">
        <f t="shared" si="3"/>
        <v>0.79995128410675254</v>
      </c>
      <c r="G42">
        <f t="shared" si="4"/>
        <v>-0.60006494903131746</v>
      </c>
      <c r="H42">
        <v>256</v>
      </c>
      <c r="I42">
        <v>80</v>
      </c>
      <c r="J42">
        <v>192</v>
      </c>
      <c r="K42">
        <f t="shared" si="5"/>
        <v>87.210279053475205</v>
      </c>
      <c r="L42">
        <f t="shared" si="5"/>
        <v>206.61370424560801</v>
      </c>
      <c r="M42">
        <f t="shared" si="6"/>
        <v>39.205083130969811</v>
      </c>
      <c r="N42">
        <f t="shared" si="7"/>
        <v>142.61760151706781</v>
      </c>
      <c r="O42">
        <f t="shared" si="8"/>
        <v>204</v>
      </c>
      <c r="P42">
        <f t="shared" si="8"/>
        <v>-154</v>
      </c>
      <c r="Q42">
        <f t="shared" si="9"/>
        <v>39</v>
      </c>
      <c r="R42">
        <f t="shared" si="10"/>
        <v>263</v>
      </c>
    </row>
    <row r="43" spans="2:18" x14ac:dyDescent="0.15">
      <c r="B43">
        <v>39</v>
      </c>
      <c r="C43">
        <f t="shared" si="0"/>
        <v>2.8274333882308138</v>
      </c>
      <c r="D43">
        <f t="shared" si="1"/>
        <v>9.5491502812526344E-2</v>
      </c>
      <c r="E43">
        <f t="shared" si="2"/>
        <v>-0.70062926922203661</v>
      </c>
      <c r="F43">
        <f t="shared" si="3"/>
        <v>0.76443664951736678</v>
      </c>
      <c r="G43">
        <f t="shared" si="4"/>
        <v>-0.64469885130552429</v>
      </c>
      <c r="H43">
        <v>256</v>
      </c>
      <c r="I43">
        <v>80</v>
      </c>
      <c r="J43">
        <v>192</v>
      </c>
      <c r="K43">
        <f t="shared" si="5"/>
        <v>94.703866951835607</v>
      </c>
      <c r="L43">
        <f t="shared" si="5"/>
        <v>216.03145762546563</v>
      </c>
      <c r="M43">
        <f t="shared" si="6"/>
        <v>43.127958847393664</v>
      </c>
      <c r="N43">
        <f t="shared" si="7"/>
        <v>154.8765256640763</v>
      </c>
      <c r="O43">
        <f t="shared" si="8"/>
        <v>195</v>
      </c>
      <c r="P43">
        <f t="shared" si="8"/>
        <v>-166</v>
      </c>
      <c r="Q43">
        <f t="shared" si="9"/>
        <v>43</v>
      </c>
      <c r="R43">
        <f t="shared" si="10"/>
        <v>269</v>
      </c>
    </row>
    <row r="44" spans="2:18" x14ac:dyDescent="0.15">
      <c r="B44">
        <v>40</v>
      </c>
      <c r="C44">
        <f t="shared" si="0"/>
        <v>2.8797932657906435</v>
      </c>
      <c r="D44">
        <f t="shared" si="1"/>
        <v>6.6987298107780813E-2</v>
      </c>
      <c r="E44">
        <f t="shared" si="2"/>
        <v>-0.74999999999999967</v>
      </c>
      <c r="F44">
        <f t="shared" si="3"/>
        <v>0.73168886887382112</v>
      </c>
      <c r="G44">
        <f t="shared" si="4"/>
        <v>-0.6816387600233339</v>
      </c>
      <c r="H44">
        <v>256</v>
      </c>
      <c r="I44">
        <v>80</v>
      </c>
      <c r="J44">
        <v>192</v>
      </c>
      <c r="K44">
        <f t="shared" si="5"/>
        <v>101.61364866762375</v>
      </c>
      <c r="L44">
        <f t="shared" si="5"/>
        <v>223.82577836492345</v>
      </c>
      <c r="M44">
        <f t="shared" si="6"/>
        <v>47.082547865757036</v>
      </c>
      <c r="N44">
        <f t="shared" si="7"/>
        <v>165.29066885501777</v>
      </c>
      <c r="O44">
        <f t="shared" si="8"/>
        <v>187</v>
      </c>
      <c r="P44">
        <f t="shared" si="8"/>
        <v>-175</v>
      </c>
      <c r="Q44">
        <f t="shared" si="9"/>
        <v>47</v>
      </c>
      <c r="R44">
        <f t="shared" si="10"/>
        <v>274</v>
      </c>
    </row>
    <row r="45" spans="2:18" x14ac:dyDescent="0.15">
      <c r="B45">
        <v>41</v>
      </c>
      <c r="C45">
        <f t="shared" si="0"/>
        <v>2.9321531433504733</v>
      </c>
      <c r="D45">
        <f t="shared" si="1"/>
        <v>4.3227271178699719E-2</v>
      </c>
      <c r="E45">
        <f t="shared" si="2"/>
        <v>-0.79115357383037288</v>
      </c>
      <c r="F45">
        <f t="shared" si="3"/>
        <v>0.70302540257370383</v>
      </c>
      <c r="G45">
        <f t="shared" si="4"/>
        <v>-0.71116473712922634</v>
      </c>
      <c r="H45">
        <v>256</v>
      </c>
      <c r="I45">
        <v>80</v>
      </c>
      <c r="J45">
        <v>192</v>
      </c>
      <c r="K45">
        <f t="shared" si="5"/>
        <v>107.6616400569485</v>
      </c>
      <c r="L45">
        <f t="shared" si="5"/>
        <v>230.05575953426677</v>
      </c>
      <c r="M45">
        <f t="shared" si="6"/>
        <v>50.768461086610394</v>
      </c>
      <c r="N45">
        <f t="shared" si="7"/>
        <v>173.81372732837048</v>
      </c>
      <c r="O45">
        <f t="shared" si="8"/>
        <v>179</v>
      </c>
      <c r="P45">
        <f t="shared" si="8"/>
        <v>-183</v>
      </c>
      <c r="Q45">
        <f t="shared" si="9"/>
        <v>50</v>
      </c>
      <c r="R45">
        <f t="shared" si="10"/>
        <v>278</v>
      </c>
    </row>
    <row r="46" spans="2:18" x14ac:dyDescent="0.15">
      <c r="B46">
        <v>42</v>
      </c>
      <c r="C46">
        <f t="shared" si="0"/>
        <v>2.9845130209103035</v>
      </c>
      <c r="D46">
        <f t="shared" si="1"/>
        <v>2.4471741852423248E-2</v>
      </c>
      <c r="E46">
        <f t="shared" si="2"/>
        <v>-0.82363910354633185</v>
      </c>
      <c r="F46">
        <f t="shared" si="3"/>
        <v>0.67955598043024745</v>
      </c>
      <c r="G46">
        <f t="shared" si="4"/>
        <v>-0.73362365655796924</v>
      </c>
      <c r="H46">
        <v>256</v>
      </c>
      <c r="I46">
        <v>80</v>
      </c>
      <c r="J46">
        <v>192</v>
      </c>
      <c r="K46">
        <f t="shared" si="5"/>
        <v>112.61368812921779</v>
      </c>
      <c r="L46">
        <f t="shared" si="5"/>
        <v>234.79459153373151</v>
      </c>
      <c r="M46">
        <f t="shared" si="6"/>
        <v>53.923795604580249</v>
      </c>
      <c r="N46">
        <f t="shared" si="7"/>
        <v>180.43011309931171</v>
      </c>
      <c r="O46">
        <f t="shared" si="8"/>
        <v>173</v>
      </c>
      <c r="P46">
        <f t="shared" si="8"/>
        <v>-188</v>
      </c>
      <c r="Q46">
        <f t="shared" si="9"/>
        <v>53</v>
      </c>
      <c r="R46">
        <f t="shared" si="10"/>
        <v>282</v>
      </c>
    </row>
    <row r="47" spans="2:18" x14ac:dyDescent="0.15">
      <c r="B47">
        <v>43</v>
      </c>
      <c r="C47">
        <f t="shared" si="0"/>
        <v>3.0368728984701332</v>
      </c>
      <c r="D47">
        <f t="shared" si="1"/>
        <v>1.0926199633097235E-2</v>
      </c>
      <c r="E47">
        <f t="shared" si="2"/>
        <v>-0.84710067088627383</v>
      </c>
      <c r="F47">
        <f t="shared" si="3"/>
        <v>0.66215857804117773</v>
      </c>
      <c r="G47">
        <f t="shared" si="4"/>
        <v>-0.74936374180132681</v>
      </c>
      <c r="H47">
        <v>256</v>
      </c>
      <c r="I47">
        <v>80</v>
      </c>
      <c r="J47">
        <v>192</v>
      </c>
      <c r="K47">
        <f t="shared" si="5"/>
        <v>116.28454003331149</v>
      </c>
      <c r="L47">
        <f t="shared" si="5"/>
        <v>238.11574952007996</v>
      </c>
      <c r="M47">
        <f t="shared" si="6"/>
        <v>56.335440689205342</v>
      </c>
      <c r="N47">
        <f t="shared" si="7"/>
        <v>185.14306327678574</v>
      </c>
      <c r="O47">
        <f t="shared" si="8"/>
        <v>169</v>
      </c>
      <c r="P47">
        <f t="shared" si="8"/>
        <v>-192</v>
      </c>
      <c r="Q47">
        <f t="shared" si="9"/>
        <v>56</v>
      </c>
      <c r="R47">
        <f t="shared" si="10"/>
        <v>284</v>
      </c>
    </row>
    <row r="48" spans="2:18" x14ac:dyDescent="0.15">
      <c r="B48">
        <v>44</v>
      </c>
      <c r="C48">
        <f t="shared" si="0"/>
        <v>3.0892327760299629</v>
      </c>
      <c r="D48">
        <f t="shared" si="1"/>
        <v>2.7390523158633755E-3</v>
      </c>
      <c r="E48">
        <f t="shared" si="2"/>
        <v>-0.8612812260087741</v>
      </c>
      <c r="F48">
        <f t="shared" si="3"/>
        <v>0.65146596532650602</v>
      </c>
      <c r="G48">
        <f t="shared" si="4"/>
        <v>-0.75867786050550046</v>
      </c>
      <c r="H48">
        <v>256</v>
      </c>
      <c r="I48">
        <v>80</v>
      </c>
      <c r="J48">
        <v>192</v>
      </c>
      <c r="K48">
        <f t="shared" si="5"/>
        <v>118.54068131610723</v>
      </c>
      <c r="L48">
        <f t="shared" si="5"/>
        <v>240.08102856666059</v>
      </c>
      <c r="M48">
        <f t="shared" si="6"/>
        <v>57.846452475667192</v>
      </c>
      <c r="N48">
        <f t="shared" si="7"/>
        <v>187.96375134054011</v>
      </c>
      <c r="O48">
        <f t="shared" si="8"/>
        <v>166</v>
      </c>
      <c r="P48">
        <f t="shared" si="8"/>
        <v>-195</v>
      </c>
      <c r="Q48">
        <f t="shared" si="9"/>
        <v>57</v>
      </c>
      <c r="R48">
        <f t="shared" si="10"/>
        <v>285</v>
      </c>
    </row>
    <row r="49" spans="2:18" x14ac:dyDescent="0.15">
      <c r="B49">
        <v>45</v>
      </c>
      <c r="C49">
        <f t="shared" si="0"/>
        <v>3.1415926535897931</v>
      </c>
      <c r="D49">
        <f t="shared" si="1"/>
        <v>1.5009887365649789E-32</v>
      </c>
      <c r="E49">
        <f t="shared" si="2"/>
        <v>-0.8660254037844386</v>
      </c>
      <c r="F49">
        <f t="shared" si="3"/>
        <v>0.647859344852457</v>
      </c>
      <c r="G49">
        <f t="shared" si="4"/>
        <v>-0.7617599814162892</v>
      </c>
      <c r="H49">
        <v>256</v>
      </c>
      <c r="I49">
        <v>80</v>
      </c>
      <c r="J49">
        <v>192</v>
      </c>
      <c r="K49">
        <f t="shared" si="5"/>
        <v>119.30167823613158</v>
      </c>
      <c r="L49">
        <f t="shared" si="5"/>
        <v>240.73135607883702</v>
      </c>
      <c r="M49">
        <f t="shared" si="6"/>
        <v>58.360879722828443</v>
      </c>
      <c r="N49">
        <f t="shared" si="7"/>
        <v>188.90260849064046</v>
      </c>
      <c r="O49">
        <f t="shared" si="8"/>
        <v>165</v>
      </c>
      <c r="P49">
        <f t="shared" si="8"/>
        <v>-196</v>
      </c>
      <c r="Q49">
        <f t="shared" si="9"/>
        <v>58</v>
      </c>
      <c r="R49">
        <f t="shared" si="10"/>
        <v>286</v>
      </c>
    </row>
    <row r="50" spans="2:18" x14ac:dyDescent="0.15">
      <c r="B50">
        <v>46</v>
      </c>
      <c r="C50">
        <f t="shared" si="0"/>
        <v>3.1939525311496229</v>
      </c>
      <c r="D50">
        <f t="shared" si="1"/>
        <v>2.7390523158633026E-3</v>
      </c>
      <c r="E50">
        <f t="shared" si="2"/>
        <v>-0.86128122600877421</v>
      </c>
      <c r="F50">
        <f t="shared" si="3"/>
        <v>0.65146596532650591</v>
      </c>
      <c r="G50">
        <f t="shared" si="4"/>
        <v>-0.75867786050550057</v>
      </c>
      <c r="H50">
        <v>256</v>
      </c>
      <c r="I50">
        <v>80</v>
      </c>
      <c r="J50">
        <v>192</v>
      </c>
      <c r="K50">
        <f t="shared" si="5"/>
        <v>118.54068131610725</v>
      </c>
      <c r="L50">
        <f t="shared" si="5"/>
        <v>240.08102856666062</v>
      </c>
      <c r="M50">
        <f t="shared" si="6"/>
        <v>57.846452475667206</v>
      </c>
      <c r="N50">
        <f t="shared" si="7"/>
        <v>187.96375134054014</v>
      </c>
      <c r="O50">
        <f t="shared" si="8"/>
        <v>166</v>
      </c>
      <c r="P50">
        <f t="shared" si="8"/>
        <v>-195</v>
      </c>
      <c r="Q50">
        <f t="shared" si="9"/>
        <v>57</v>
      </c>
      <c r="R50">
        <f t="shared" si="10"/>
        <v>285</v>
      </c>
    </row>
    <row r="51" spans="2:18" x14ac:dyDescent="0.15">
      <c r="B51">
        <v>47</v>
      </c>
      <c r="C51">
        <f t="shared" si="0"/>
        <v>3.246312408709453</v>
      </c>
      <c r="D51">
        <f t="shared" si="1"/>
        <v>1.0926199633097187E-2</v>
      </c>
      <c r="E51">
        <f t="shared" si="2"/>
        <v>-0.84710067088627383</v>
      </c>
      <c r="F51">
        <f t="shared" si="3"/>
        <v>0.66215857804117773</v>
      </c>
      <c r="G51">
        <f t="shared" si="4"/>
        <v>-0.74936374180132681</v>
      </c>
      <c r="H51">
        <v>256</v>
      </c>
      <c r="I51">
        <v>80</v>
      </c>
      <c r="J51">
        <v>192</v>
      </c>
      <c r="K51">
        <f t="shared" si="5"/>
        <v>116.28454003331149</v>
      </c>
      <c r="L51">
        <f t="shared" si="5"/>
        <v>238.11574952007996</v>
      </c>
      <c r="M51">
        <f t="shared" si="6"/>
        <v>56.335440689205342</v>
      </c>
      <c r="N51">
        <f t="shared" si="7"/>
        <v>185.14306327678574</v>
      </c>
      <c r="O51">
        <f t="shared" si="8"/>
        <v>169</v>
      </c>
      <c r="P51">
        <f t="shared" si="8"/>
        <v>-192</v>
      </c>
      <c r="Q51">
        <f t="shared" si="9"/>
        <v>56</v>
      </c>
      <c r="R51">
        <f t="shared" si="10"/>
        <v>284</v>
      </c>
    </row>
    <row r="52" spans="2:18" x14ac:dyDescent="0.15">
      <c r="B52">
        <v>48</v>
      </c>
      <c r="C52">
        <f t="shared" si="0"/>
        <v>3.2986722862692828</v>
      </c>
      <c r="D52">
        <f t="shared" si="1"/>
        <v>2.4471741852423172E-2</v>
      </c>
      <c r="E52">
        <f t="shared" si="2"/>
        <v>-0.82363910354633196</v>
      </c>
      <c r="F52">
        <f t="shared" si="3"/>
        <v>0.67955598043024734</v>
      </c>
      <c r="G52">
        <f t="shared" si="4"/>
        <v>-0.73362365655796935</v>
      </c>
      <c r="H52">
        <v>256</v>
      </c>
      <c r="I52">
        <v>80</v>
      </c>
      <c r="J52">
        <v>192</v>
      </c>
      <c r="K52">
        <f t="shared" si="5"/>
        <v>112.61368812921782</v>
      </c>
      <c r="L52">
        <f t="shared" si="5"/>
        <v>234.79459153373153</v>
      </c>
      <c r="M52">
        <f t="shared" si="6"/>
        <v>53.92379560458027</v>
      </c>
      <c r="N52">
        <f t="shared" si="7"/>
        <v>180.43011309931174</v>
      </c>
      <c r="O52">
        <f t="shared" si="8"/>
        <v>173</v>
      </c>
      <c r="P52">
        <f t="shared" si="8"/>
        <v>-188</v>
      </c>
      <c r="Q52">
        <f t="shared" si="9"/>
        <v>53</v>
      </c>
      <c r="R52">
        <f t="shared" si="10"/>
        <v>282</v>
      </c>
    </row>
    <row r="53" spans="2:18" x14ac:dyDescent="0.15">
      <c r="B53">
        <v>49</v>
      </c>
      <c r="C53">
        <f t="shared" si="0"/>
        <v>3.3510321638291125</v>
      </c>
      <c r="D53">
        <f t="shared" si="1"/>
        <v>4.3227271178699442E-2</v>
      </c>
      <c r="E53">
        <f t="shared" si="2"/>
        <v>-0.79115357383037332</v>
      </c>
      <c r="F53">
        <f t="shared" si="3"/>
        <v>0.7030254025737035</v>
      </c>
      <c r="G53">
        <f t="shared" si="4"/>
        <v>-0.71116473712922668</v>
      </c>
      <c r="H53">
        <v>256</v>
      </c>
      <c r="I53">
        <v>80</v>
      </c>
      <c r="J53">
        <v>192</v>
      </c>
      <c r="K53">
        <f t="shared" si="5"/>
        <v>107.66164005694856</v>
      </c>
      <c r="L53">
        <f t="shared" si="5"/>
        <v>230.05575953426683</v>
      </c>
      <c r="M53">
        <f t="shared" si="6"/>
        <v>50.768461086610422</v>
      </c>
      <c r="N53">
        <f t="shared" si="7"/>
        <v>173.81372732837053</v>
      </c>
      <c r="O53">
        <f t="shared" si="8"/>
        <v>179</v>
      </c>
      <c r="P53">
        <f t="shared" si="8"/>
        <v>-183</v>
      </c>
      <c r="Q53">
        <f t="shared" si="9"/>
        <v>50</v>
      </c>
      <c r="R53">
        <f t="shared" si="10"/>
        <v>278</v>
      </c>
    </row>
    <row r="54" spans="2:18" x14ac:dyDescent="0.15">
      <c r="B54">
        <v>50</v>
      </c>
      <c r="C54">
        <f t="shared" si="0"/>
        <v>3.4033920413889427</v>
      </c>
      <c r="D54">
        <f t="shared" si="1"/>
        <v>6.6987298107780688E-2</v>
      </c>
      <c r="E54">
        <f t="shared" si="2"/>
        <v>-0.74999999999999989</v>
      </c>
      <c r="F54">
        <f t="shared" si="3"/>
        <v>0.73168886887382101</v>
      </c>
      <c r="G54">
        <f t="shared" si="4"/>
        <v>-0.68163876002333412</v>
      </c>
      <c r="H54">
        <v>256</v>
      </c>
      <c r="I54">
        <v>80</v>
      </c>
      <c r="J54">
        <v>192</v>
      </c>
      <c r="K54">
        <f t="shared" si="5"/>
        <v>101.61364866762378</v>
      </c>
      <c r="L54">
        <f t="shared" si="5"/>
        <v>223.82577836492351</v>
      </c>
      <c r="M54">
        <f t="shared" si="6"/>
        <v>47.08254786575705</v>
      </c>
      <c r="N54">
        <f t="shared" si="7"/>
        <v>165.29066885501783</v>
      </c>
      <c r="O54">
        <f t="shared" si="8"/>
        <v>187</v>
      </c>
      <c r="P54">
        <f t="shared" si="8"/>
        <v>-175</v>
      </c>
      <c r="Q54">
        <f t="shared" si="9"/>
        <v>47</v>
      </c>
      <c r="R54">
        <f t="shared" si="10"/>
        <v>274</v>
      </c>
    </row>
    <row r="55" spans="2:18" x14ac:dyDescent="0.15">
      <c r="B55">
        <v>51</v>
      </c>
      <c r="C55">
        <f t="shared" si="0"/>
        <v>3.4557519189487724</v>
      </c>
      <c r="D55">
        <f t="shared" si="1"/>
        <v>9.5491502812526205E-2</v>
      </c>
      <c r="E55">
        <f t="shared" si="2"/>
        <v>-0.70062926922203683</v>
      </c>
      <c r="F55">
        <f t="shared" si="3"/>
        <v>0.76443664951736656</v>
      </c>
      <c r="G55">
        <f t="shared" si="4"/>
        <v>-0.64469885130552451</v>
      </c>
      <c r="H55">
        <v>256</v>
      </c>
      <c r="I55">
        <v>80</v>
      </c>
      <c r="J55">
        <v>192</v>
      </c>
      <c r="K55">
        <f t="shared" si="5"/>
        <v>94.703866951835664</v>
      </c>
      <c r="L55">
        <f t="shared" si="5"/>
        <v>216.03145762546566</v>
      </c>
      <c r="M55">
        <f t="shared" si="6"/>
        <v>43.1279588473937</v>
      </c>
      <c r="N55">
        <f t="shared" si="7"/>
        <v>154.87652566407633</v>
      </c>
      <c r="O55">
        <f t="shared" si="8"/>
        <v>195</v>
      </c>
      <c r="P55">
        <f t="shared" si="8"/>
        <v>-166</v>
      </c>
      <c r="Q55">
        <f t="shared" si="9"/>
        <v>43</v>
      </c>
      <c r="R55">
        <f t="shared" si="10"/>
        <v>269</v>
      </c>
    </row>
    <row r="56" spans="2:18" x14ac:dyDescent="0.15">
      <c r="B56">
        <v>52</v>
      </c>
      <c r="C56">
        <f t="shared" si="0"/>
        <v>3.5081117965086026</v>
      </c>
      <c r="D56">
        <f t="shared" si="1"/>
        <v>0.12842758726130299</v>
      </c>
      <c r="E56">
        <f t="shared" si="2"/>
        <v>-0.64358229755437635</v>
      </c>
      <c r="F56">
        <f t="shared" si="3"/>
        <v>0.79995128410675242</v>
      </c>
      <c r="G56">
        <f t="shared" si="4"/>
        <v>-0.60006494903131768</v>
      </c>
      <c r="H56">
        <v>256</v>
      </c>
      <c r="I56">
        <v>80</v>
      </c>
      <c r="J56">
        <v>192</v>
      </c>
      <c r="K56">
        <f t="shared" si="5"/>
        <v>87.210279053475233</v>
      </c>
      <c r="L56">
        <f t="shared" si="5"/>
        <v>206.61370424560803</v>
      </c>
      <c r="M56">
        <f t="shared" si="6"/>
        <v>39.205083130969818</v>
      </c>
      <c r="N56">
        <f t="shared" si="7"/>
        <v>142.61760151706784</v>
      </c>
      <c r="O56">
        <f t="shared" si="8"/>
        <v>204</v>
      </c>
      <c r="P56">
        <f t="shared" si="8"/>
        <v>-154</v>
      </c>
      <c r="Q56">
        <f t="shared" si="9"/>
        <v>39</v>
      </c>
      <c r="R56">
        <f t="shared" si="10"/>
        <v>263</v>
      </c>
    </row>
    <row r="57" spans="2:18" x14ac:dyDescent="0.15">
      <c r="B57">
        <v>53</v>
      </c>
      <c r="C57">
        <f t="shared" si="0"/>
        <v>3.5604716740684323</v>
      </c>
      <c r="D57">
        <f t="shared" si="1"/>
        <v>0.16543469682057088</v>
      </c>
      <c r="E57">
        <f t="shared" si="2"/>
        <v>-0.57948410355645641</v>
      </c>
      <c r="F57">
        <f t="shared" si="3"/>
        <v>0.83674526219070833</v>
      </c>
      <c r="G57">
        <f t="shared" si="4"/>
        <v>-0.54759233577671884</v>
      </c>
      <c r="H57">
        <v>256</v>
      </c>
      <c r="I57">
        <v>80</v>
      </c>
      <c r="J57">
        <v>192</v>
      </c>
      <c r="K57">
        <f t="shared" si="5"/>
        <v>79.44674967776055</v>
      </c>
      <c r="L57">
        <f t="shared" si="5"/>
        <v>195.54198284888767</v>
      </c>
      <c r="M57">
        <f t="shared" si="6"/>
        <v>35.639362815623045</v>
      </c>
      <c r="N57">
        <f t="shared" si="7"/>
        <v>128.602361873631</v>
      </c>
      <c r="O57">
        <f t="shared" si="8"/>
        <v>214</v>
      </c>
      <c r="P57">
        <f t="shared" si="8"/>
        <v>-141</v>
      </c>
      <c r="Q57">
        <f t="shared" si="9"/>
        <v>35</v>
      </c>
      <c r="R57">
        <f t="shared" si="10"/>
        <v>256</v>
      </c>
    </row>
    <row r="58" spans="2:18" x14ac:dyDescent="0.15">
      <c r="B58">
        <v>54</v>
      </c>
      <c r="C58">
        <f t="shared" si="0"/>
        <v>3.6128315516282621</v>
      </c>
      <c r="D58">
        <f t="shared" si="1"/>
        <v>0.20610737385376335</v>
      </c>
      <c r="E58">
        <f t="shared" si="2"/>
        <v>-0.50903696045512736</v>
      </c>
      <c r="F58">
        <f t="shared" si="3"/>
        <v>0.87321423685543031</v>
      </c>
      <c r="G58">
        <f t="shared" si="4"/>
        <v>-0.48733653316059578</v>
      </c>
      <c r="H58">
        <v>256</v>
      </c>
      <c r="I58">
        <v>80</v>
      </c>
      <c r="J58">
        <v>192</v>
      </c>
      <c r="K58">
        <f t="shared" si="5"/>
        <v>71.751796023504198</v>
      </c>
      <c r="L58">
        <f t="shared" si="5"/>
        <v>182.82800849688573</v>
      </c>
      <c r="M58">
        <f t="shared" si="6"/>
        <v>32.764873370656538</v>
      </c>
      <c r="N58">
        <f t="shared" si="7"/>
        <v>112.9708695484513</v>
      </c>
      <c r="O58">
        <f t="shared" si="8"/>
        <v>223</v>
      </c>
      <c r="P58">
        <f t="shared" si="8"/>
        <v>-125</v>
      </c>
      <c r="Q58">
        <f t="shared" si="9"/>
        <v>32</v>
      </c>
      <c r="R58">
        <f t="shared" si="10"/>
        <v>248</v>
      </c>
    </row>
    <row r="59" spans="2:18" x14ac:dyDescent="0.15">
      <c r="B59">
        <v>55</v>
      </c>
      <c r="C59">
        <f t="shared" si="0"/>
        <v>3.6651914291880923</v>
      </c>
      <c r="D59">
        <f t="shared" si="1"/>
        <v>0.25000000000000011</v>
      </c>
      <c r="E59">
        <f t="shared" si="2"/>
        <v>-0.43301270189221913</v>
      </c>
      <c r="F59">
        <f t="shared" si="3"/>
        <v>0.90770571906660835</v>
      </c>
      <c r="G59">
        <f t="shared" si="4"/>
        <v>-0.41960734928474669</v>
      </c>
      <c r="H59">
        <v>256</v>
      </c>
      <c r="I59">
        <v>80</v>
      </c>
      <c r="J59">
        <v>192</v>
      </c>
      <c r="K59">
        <f t="shared" si="5"/>
        <v>64.474093276945638</v>
      </c>
      <c r="L59">
        <f t="shared" si="5"/>
        <v>168.53715069908156</v>
      </c>
      <c r="M59">
        <f t="shared" si="6"/>
        <v>30.905505334165902</v>
      </c>
      <c r="N59">
        <f t="shared" si="7"/>
        <v>95.920693173752895</v>
      </c>
      <c r="O59">
        <f t="shared" si="8"/>
        <v>232</v>
      </c>
      <c r="P59">
        <f t="shared" si="8"/>
        <v>-108</v>
      </c>
      <c r="Q59">
        <f t="shared" si="9"/>
        <v>30</v>
      </c>
      <c r="R59">
        <f t="shared" si="10"/>
        <v>239</v>
      </c>
    </row>
    <row r="60" spans="2:18" x14ac:dyDescent="0.15">
      <c r="B60">
        <v>56</v>
      </c>
      <c r="C60">
        <f t="shared" si="0"/>
        <v>3.717551306747922</v>
      </c>
      <c r="D60">
        <f t="shared" si="1"/>
        <v>0.29663167846209992</v>
      </c>
      <c r="E60">
        <f t="shared" si="2"/>
        <v>-0.35224426555364691</v>
      </c>
      <c r="F60">
        <f t="shared" si="3"/>
        <v>0.93860079407431984</v>
      </c>
      <c r="G60">
        <f t="shared" si="4"/>
        <v>-0.34500514396608106</v>
      </c>
      <c r="H60">
        <v>256</v>
      </c>
      <c r="I60">
        <v>80</v>
      </c>
      <c r="J60">
        <v>192</v>
      </c>
      <c r="K60">
        <f t="shared" si="5"/>
        <v>57.955232450318505</v>
      </c>
      <c r="L60">
        <f t="shared" si="5"/>
        <v>152.79608537684311</v>
      </c>
      <c r="M60">
        <f t="shared" si="6"/>
        <v>30.35482093303202</v>
      </c>
      <c r="N60">
        <f t="shared" si="7"/>
        <v>77.708021850897524</v>
      </c>
      <c r="O60">
        <f t="shared" si="8"/>
        <v>240</v>
      </c>
      <c r="P60">
        <f t="shared" si="8"/>
        <v>-89</v>
      </c>
      <c r="Q60">
        <f t="shared" si="9"/>
        <v>30</v>
      </c>
      <c r="R60">
        <f t="shared" si="10"/>
        <v>230</v>
      </c>
    </row>
    <row r="61" spans="2:18" x14ac:dyDescent="0.15">
      <c r="B61">
        <v>57</v>
      </c>
      <c r="C61">
        <f t="shared" si="0"/>
        <v>3.7699111843077517</v>
      </c>
      <c r="D61">
        <f t="shared" si="1"/>
        <v>0.34549150281252616</v>
      </c>
      <c r="E61">
        <f t="shared" si="2"/>
        <v>-0.26761656732981765</v>
      </c>
      <c r="F61">
        <f t="shared" si="3"/>
        <v>0.96440389471426236</v>
      </c>
      <c r="G61">
        <f t="shared" si="4"/>
        <v>-0.26443359820560236</v>
      </c>
      <c r="H61">
        <v>256</v>
      </c>
      <c r="I61">
        <v>80</v>
      </c>
      <c r="J61">
        <v>192</v>
      </c>
      <c r="K61">
        <f t="shared" si="5"/>
        <v>52.510778215290657</v>
      </c>
      <c r="L61">
        <f t="shared" si="5"/>
        <v>135.7954892213821</v>
      </c>
      <c r="M61">
        <f t="shared" si="6"/>
        <v>31.356090358842469</v>
      </c>
      <c r="N61">
        <f t="shared" si="7"/>
        <v>58.643177644241106</v>
      </c>
      <c r="O61">
        <f t="shared" si="8"/>
        <v>246</v>
      </c>
      <c r="P61">
        <f t="shared" si="8"/>
        <v>-68</v>
      </c>
      <c r="Q61">
        <f t="shared" si="9"/>
        <v>31</v>
      </c>
      <c r="R61">
        <f t="shared" si="10"/>
        <v>221</v>
      </c>
    </row>
    <row r="62" spans="2:18" x14ac:dyDescent="0.15">
      <c r="B62">
        <v>58</v>
      </c>
      <c r="C62">
        <f t="shared" si="0"/>
        <v>3.8222710618675819</v>
      </c>
      <c r="D62">
        <f t="shared" si="1"/>
        <v>0.39604415459112052</v>
      </c>
      <c r="E62">
        <f t="shared" si="2"/>
        <v>-0.18005680599195506</v>
      </c>
      <c r="F62">
        <f t="shared" si="3"/>
        <v>0.98383352124822632</v>
      </c>
      <c r="G62">
        <f t="shared" si="4"/>
        <v>-0.17908546135383455</v>
      </c>
      <c r="H62">
        <v>256</v>
      </c>
      <c r="I62">
        <v>80</v>
      </c>
      <c r="J62">
        <v>192</v>
      </c>
      <c r="K62">
        <f t="shared" si="5"/>
        <v>48.411127016624249</v>
      </c>
      <c r="L62">
        <f t="shared" si="5"/>
        <v>117.7870323456591</v>
      </c>
      <c r="M62">
        <f t="shared" si="6"/>
        <v>34.084290108317489</v>
      </c>
      <c r="N62">
        <f t="shared" si="7"/>
        <v>39.080350645800991</v>
      </c>
      <c r="O62">
        <f t="shared" si="8"/>
        <v>251</v>
      </c>
      <c r="P62">
        <f t="shared" si="8"/>
        <v>-46</v>
      </c>
      <c r="Q62">
        <f t="shared" si="9"/>
        <v>34</v>
      </c>
      <c r="R62">
        <f t="shared" si="10"/>
        <v>211</v>
      </c>
    </row>
    <row r="63" spans="2:18" x14ac:dyDescent="0.15">
      <c r="B63">
        <v>59</v>
      </c>
      <c r="C63">
        <f t="shared" si="0"/>
        <v>3.8746309394274117</v>
      </c>
      <c r="D63">
        <f t="shared" si="1"/>
        <v>0.44773576836617329</v>
      </c>
      <c r="E63">
        <f t="shared" si="2"/>
        <v>-9.0524304608336409E-2</v>
      </c>
      <c r="F63">
        <f t="shared" si="3"/>
        <v>0.99590547238524751</v>
      </c>
      <c r="G63">
        <f t="shared" si="4"/>
        <v>-9.0400719428094134E-2</v>
      </c>
      <c r="H63">
        <v>256</v>
      </c>
      <c r="I63">
        <v>80</v>
      </c>
      <c r="J63">
        <v>192</v>
      </c>
      <c r="K63">
        <f t="shared" si="5"/>
        <v>45.863945326712781</v>
      </c>
      <c r="L63">
        <f t="shared" si="5"/>
        <v>99.074551799327864</v>
      </c>
      <c r="M63">
        <f t="shared" si="6"/>
        <v>38.631887772465248</v>
      </c>
      <c r="N63">
        <f t="shared" si="7"/>
        <v>19.402114008508065</v>
      </c>
      <c r="O63">
        <f t="shared" si="8"/>
        <v>254</v>
      </c>
      <c r="P63">
        <f t="shared" si="8"/>
        <v>-24</v>
      </c>
      <c r="Q63">
        <f t="shared" si="9"/>
        <v>38</v>
      </c>
      <c r="R63">
        <f t="shared" si="10"/>
        <v>201</v>
      </c>
    </row>
    <row r="64" spans="2:18" x14ac:dyDescent="0.15">
      <c r="B64">
        <v>60</v>
      </c>
      <c r="C64">
        <f t="shared" si="0"/>
        <v>3.926990816987241</v>
      </c>
      <c r="D64">
        <f t="shared" si="1"/>
        <v>0.49999999999999944</v>
      </c>
      <c r="E64">
        <f t="shared" si="2"/>
        <v>-9.6148134319178186E-16</v>
      </c>
      <c r="F64">
        <f t="shared" si="3"/>
        <v>1</v>
      </c>
      <c r="G64">
        <f t="shared" si="4"/>
        <v>-9.6148134319178186E-16</v>
      </c>
      <c r="H64">
        <v>256</v>
      </c>
      <c r="I64">
        <v>80</v>
      </c>
      <c r="J64">
        <v>192</v>
      </c>
      <c r="K64">
        <f t="shared" si="5"/>
        <v>45</v>
      </c>
      <c r="L64">
        <f t="shared" si="5"/>
        <v>80.000000000000199</v>
      </c>
      <c r="M64">
        <f t="shared" si="6"/>
        <v>44.999999999999922</v>
      </c>
      <c r="N64">
        <f t="shared" si="7"/>
        <v>1.9895196601282805E-13</v>
      </c>
      <c r="O64">
        <f t="shared" si="8"/>
        <v>256</v>
      </c>
      <c r="P64">
        <f t="shared" si="8"/>
        <v>-1</v>
      </c>
      <c r="Q64">
        <f t="shared" si="9"/>
        <v>44</v>
      </c>
      <c r="R64">
        <f t="shared" si="10"/>
        <v>192</v>
      </c>
    </row>
  </sheetData>
  <mergeCells count="1">
    <mergeCell ref="H2:I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4"/>
  <sheetViews>
    <sheetView zoomScale="115" zoomScaleNormal="115" workbookViewId="0">
      <selection activeCell="E6" sqref="E6"/>
    </sheetView>
  </sheetViews>
  <sheetFormatPr defaultRowHeight="13.5" x14ac:dyDescent="0.15"/>
  <cols>
    <col min="1" max="1" width="3.25" customWidth="1"/>
    <col min="4" max="4" width="13.875" bestFit="1" customWidth="1"/>
    <col min="5" max="5" width="26.5" bestFit="1" customWidth="1"/>
    <col min="13" max="13" width="13.875" bestFit="1" customWidth="1"/>
  </cols>
  <sheetData>
    <row r="1" spans="2:18" x14ac:dyDescent="0.15">
      <c r="B1" t="s">
        <v>28</v>
      </c>
    </row>
    <row r="2" spans="2:18" x14ac:dyDescent="0.15">
      <c r="H2" s="5" t="s">
        <v>14</v>
      </c>
      <c r="I2" s="5"/>
    </row>
    <row r="3" spans="2:18" x14ac:dyDescent="0.15">
      <c r="B3" t="s">
        <v>0</v>
      </c>
      <c r="C3" t="s">
        <v>24</v>
      </c>
      <c r="D3" t="s">
        <v>25</v>
      </c>
      <c r="E3" t="s">
        <v>26</v>
      </c>
      <c r="F3" t="s">
        <v>7</v>
      </c>
      <c r="G3" t="s">
        <v>2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3</v>
      </c>
      <c r="P3" t="s">
        <v>4</v>
      </c>
      <c r="Q3" t="s">
        <v>5</v>
      </c>
      <c r="R3" t="s">
        <v>6</v>
      </c>
    </row>
    <row r="4" spans="2:18" x14ac:dyDescent="0.15">
      <c r="B4">
        <v>0</v>
      </c>
      <c r="C4">
        <f>2*PI()*B4/120+PI()/4</f>
        <v>0.78539816339744828</v>
      </c>
      <c r="D4">
        <f>POWER(SIN(C4),2)</f>
        <v>0.49999999999999989</v>
      </c>
      <c r="E4">
        <f>(D4-0.5)*SQRT(3)</f>
        <v>-1.9229626863835638E-16</v>
      </c>
      <c r="F4">
        <f>COS(E4)</f>
        <v>1</v>
      </c>
      <c r="G4">
        <f>SIN(E4)</f>
        <v>-1.9229626863835638E-16</v>
      </c>
      <c r="H4">
        <v>256</v>
      </c>
      <c r="I4">
        <v>80</v>
      </c>
      <c r="J4">
        <v>192</v>
      </c>
      <c r="K4">
        <f>H4-F4*256</f>
        <v>0</v>
      </c>
      <c r="L4">
        <f>I4-G4*256</f>
        <v>80.000000000000043</v>
      </c>
      <c r="M4">
        <f>K4+G4*144</f>
        <v>-2.7690662683923318E-14</v>
      </c>
      <c r="N4">
        <f>L4-F4*144</f>
        <v>-63.999999999999957</v>
      </c>
      <c r="O4">
        <f>INT(F4*256)</f>
        <v>256</v>
      </c>
      <c r="P4">
        <f>INT(G4*256)</f>
        <v>-1</v>
      </c>
      <c r="Q4">
        <f>INT(M4)</f>
        <v>-1</v>
      </c>
      <c r="R4">
        <f>INT(N4/2)+J4</f>
        <v>160</v>
      </c>
    </row>
    <row r="5" spans="2:18" x14ac:dyDescent="0.15">
      <c r="B5">
        <v>1</v>
      </c>
      <c r="C5">
        <f t="shared" ref="C5:C64" si="0">2*PI()*B5/120+PI()/4</f>
        <v>0.83775804095727813</v>
      </c>
      <c r="D5">
        <f t="shared" ref="D5:D64" si="1">POWER(SIN(C5),2)</f>
        <v>0.55226423163382654</v>
      </c>
      <c r="E5">
        <f t="shared" ref="E5:E64" si="2">(D5-0.5)*SQRT(3)</f>
        <v>9.0524304608336117E-2</v>
      </c>
      <c r="F5">
        <f t="shared" ref="F5:F64" si="3">COS(E5)</f>
        <v>0.99590547238524751</v>
      </c>
      <c r="G5">
        <f t="shared" ref="G5:G64" si="4">SIN(E5)</f>
        <v>9.0400719428093843E-2</v>
      </c>
      <c r="H5">
        <v>256</v>
      </c>
      <c r="I5">
        <v>80</v>
      </c>
      <c r="J5">
        <v>192</v>
      </c>
      <c r="K5">
        <f t="shared" ref="K5:K64" si="5">H5-F5*256</f>
        <v>1.0481990693766363</v>
      </c>
      <c r="L5">
        <f t="shared" ref="L5:L64" si="6">I5-G5*256</f>
        <v>56.857415826407973</v>
      </c>
      <c r="M5">
        <f t="shared" ref="M5:M64" si="7">K5+G5*144</f>
        <v>14.065902667022149</v>
      </c>
      <c r="N5">
        <f t="shared" ref="N5:N64" si="8">L5-F5*144</f>
        <v>-86.55297219706766</v>
      </c>
      <c r="O5">
        <f t="shared" ref="O5:P64" si="9">INT(F5*256)</f>
        <v>254</v>
      </c>
      <c r="P5">
        <f t="shared" si="9"/>
        <v>23</v>
      </c>
      <c r="Q5">
        <f t="shared" ref="Q5:Q64" si="10">INT(M5)</f>
        <v>14</v>
      </c>
      <c r="R5">
        <f t="shared" ref="R5:R64" si="11">INT(N5/2)+J5</f>
        <v>148</v>
      </c>
    </row>
    <row r="6" spans="2:18" x14ac:dyDescent="0.15">
      <c r="B6">
        <v>2</v>
      </c>
      <c r="C6">
        <f t="shared" si="0"/>
        <v>0.89011791851710809</v>
      </c>
      <c r="D6">
        <f t="shared" si="1"/>
        <v>0.6039558454088797</v>
      </c>
      <c r="E6">
        <f t="shared" si="2"/>
        <v>0.18005680599195545</v>
      </c>
      <c r="F6">
        <f t="shared" si="3"/>
        <v>0.98383352124822632</v>
      </c>
      <c r="G6">
        <f t="shared" si="4"/>
        <v>0.17908546135383493</v>
      </c>
      <c r="H6">
        <v>256</v>
      </c>
      <c r="I6">
        <v>80</v>
      </c>
      <c r="J6">
        <v>192</v>
      </c>
      <c r="K6">
        <f t="shared" si="5"/>
        <v>4.1386185604540628</v>
      </c>
      <c r="L6">
        <f t="shared" si="6"/>
        <v>34.154121893418257</v>
      </c>
      <c r="M6">
        <f t="shared" si="7"/>
        <v>29.926924995406292</v>
      </c>
      <c r="N6">
        <f t="shared" si="8"/>
        <v>-107.51790516632633</v>
      </c>
      <c r="O6">
        <f t="shared" si="9"/>
        <v>251</v>
      </c>
      <c r="P6">
        <f t="shared" si="9"/>
        <v>45</v>
      </c>
      <c r="Q6">
        <f t="shared" si="10"/>
        <v>29</v>
      </c>
      <c r="R6">
        <f t="shared" si="11"/>
        <v>138</v>
      </c>
    </row>
    <row r="7" spans="2:18" x14ac:dyDescent="0.15">
      <c r="B7">
        <v>3</v>
      </c>
      <c r="C7">
        <f t="shared" si="0"/>
        <v>0.94247779607693793</v>
      </c>
      <c r="D7">
        <f t="shared" si="1"/>
        <v>0.65450849718747373</v>
      </c>
      <c r="E7">
        <f t="shared" si="2"/>
        <v>0.26761656732981748</v>
      </c>
      <c r="F7">
        <f t="shared" si="3"/>
        <v>0.96440389471426236</v>
      </c>
      <c r="G7">
        <f t="shared" si="4"/>
        <v>0.26443359820560219</v>
      </c>
      <c r="H7">
        <v>256</v>
      </c>
      <c r="I7">
        <v>80</v>
      </c>
      <c r="J7">
        <v>192</v>
      </c>
      <c r="K7">
        <f t="shared" si="5"/>
        <v>9.1126029531488371</v>
      </c>
      <c r="L7">
        <f t="shared" si="6"/>
        <v>12.304998859365838</v>
      </c>
      <c r="M7">
        <f t="shared" si="7"/>
        <v>47.191041094755555</v>
      </c>
      <c r="N7">
        <f t="shared" si="8"/>
        <v>-126.56916197948794</v>
      </c>
      <c r="O7">
        <f t="shared" si="9"/>
        <v>246</v>
      </c>
      <c r="P7">
        <f t="shared" si="9"/>
        <v>67</v>
      </c>
      <c r="Q7">
        <f t="shared" si="10"/>
        <v>47</v>
      </c>
      <c r="R7">
        <f t="shared" si="11"/>
        <v>128</v>
      </c>
    </row>
    <row r="8" spans="2:18" x14ac:dyDescent="0.15">
      <c r="B8">
        <v>4</v>
      </c>
      <c r="C8">
        <f t="shared" si="0"/>
        <v>0.99483767363676778</v>
      </c>
      <c r="D8">
        <f t="shared" si="1"/>
        <v>0.70336832153789997</v>
      </c>
      <c r="E8">
        <f t="shared" si="2"/>
        <v>0.35224426555364674</v>
      </c>
      <c r="F8">
        <f t="shared" si="3"/>
        <v>0.93860079407431984</v>
      </c>
      <c r="G8">
        <f t="shared" si="4"/>
        <v>0.3450051439660809</v>
      </c>
      <c r="H8">
        <v>256</v>
      </c>
      <c r="I8">
        <v>80</v>
      </c>
      <c r="J8">
        <v>192</v>
      </c>
      <c r="K8">
        <f t="shared" si="5"/>
        <v>15.71819671697412</v>
      </c>
      <c r="L8">
        <f t="shared" si="6"/>
        <v>-8.3213168553167094</v>
      </c>
      <c r="M8">
        <f t="shared" si="7"/>
        <v>65.398937448089768</v>
      </c>
      <c r="N8">
        <f t="shared" si="8"/>
        <v>-143.47983120201877</v>
      </c>
      <c r="O8">
        <f t="shared" si="9"/>
        <v>240</v>
      </c>
      <c r="P8">
        <f t="shared" si="9"/>
        <v>88</v>
      </c>
      <c r="Q8">
        <f t="shared" si="10"/>
        <v>65</v>
      </c>
      <c r="R8">
        <f t="shared" si="11"/>
        <v>120</v>
      </c>
    </row>
    <row r="9" spans="2:18" x14ac:dyDescent="0.15">
      <c r="B9">
        <v>5</v>
      </c>
      <c r="C9">
        <f t="shared" si="0"/>
        <v>1.0471975511965976</v>
      </c>
      <c r="D9">
        <f t="shared" si="1"/>
        <v>0.74999999999999989</v>
      </c>
      <c r="E9">
        <f t="shared" si="2"/>
        <v>0.43301270189221913</v>
      </c>
      <c r="F9">
        <f t="shared" si="3"/>
        <v>0.90770571906660835</v>
      </c>
      <c r="G9">
        <f t="shared" si="4"/>
        <v>0.41960734928474669</v>
      </c>
      <c r="H9">
        <v>256</v>
      </c>
      <c r="I9">
        <v>80</v>
      </c>
      <c r="J9">
        <v>192</v>
      </c>
      <c r="K9">
        <f t="shared" si="5"/>
        <v>23.627335918948262</v>
      </c>
      <c r="L9">
        <f t="shared" si="6"/>
        <v>-27.419481416895152</v>
      </c>
      <c r="M9">
        <f t="shared" si="7"/>
        <v>84.050794215951782</v>
      </c>
      <c r="N9">
        <f t="shared" si="8"/>
        <v>-158.12910496248674</v>
      </c>
      <c r="O9">
        <f t="shared" si="9"/>
        <v>232</v>
      </c>
      <c r="P9">
        <f t="shared" si="9"/>
        <v>107</v>
      </c>
      <c r="Q9">
        <f t="shared" si="10"/>
        <v>84</v>
      </c>
      <c r="R9">
        <f t="shared" si="11"/>
        <v>112</v>
      </c>
    </row>
    <row r="10" spans="2:18" x14ac:dyDescent="0.15">
      <c r="B10">
        <v>6</v>
      </c>
      <c r="C10">
        <f t="shared" si="0"/>
        <v>1.0995574287564276</v>
      </c>
      <c r="D10">
        <f t="shared" si="1"/>
        <v>0.79389262614623646</v>
      </c>
      <c r="E10">
        <f t="shared" si="2"/>
        <v>0.50903696045512692</v>
      </c>
      <c r="F10">
        <f t="shared" si="3"/>
        <v>0.87321423685543054</v>
      </c>
      <c r="G10">
        <f t="shared" si="4"/>
        <v>0.48733653316059539</v>
      </c>
      <c r="H10">
        <v>256</v>
      </c>
      <c r="I10">
        <v>80</v>
      </c>
      <c r="J10">
        <v>192</v>
      </c>
      <c r="K10">
        <f t="shared" si="5"/>
        <v>32.457155365009783</v>
      </c>
      <c r="L10">
        <f t="shared" si="6"/>
        <v>-44.758152489112419</v>
      </c>
      <c r="M10">
        <f t="shared" si="7"/>
        <v>102.63361614013552</v>
      </c>
      <c r="N10">
        <f t="shared" si="8"/>
        <v>-170.50100259629443</v>
      </c>
      <c r="O10">
        <f t="shared" si="9"/>
        <v>223</v>
      </c>
      <c r="P10">
        <f t="shared" si="9"/>
        <v>124</v>
      </c>
      <c r="Q10">
        <f t="shared" si="10"/>
        <v>102</v>
      </c>
      <c r="R10">
        <f t="shared" si="11"/>
        <v>106</v>
      </c>
    </row>
    <row r="11" spans="2:18" x14ac:dyDescent="0.15">
      <c r="B11">
        <v>7</v>
      </c>
      <c r="C11">
        <f t="shared" si="0"/>
        <v>1.1519173063162575</v>
      </c>
      <c r="D11">
        <f t="shared" si="1"/>
        <v>0.83456530317942901</v>
      </c>
      <c r="E11">
        <f t="shared" si="2"/>
        <v>0.5794841035564563</v>
      </c>
      <c r="F11">
        <f t="shared" si="3"/>
        <v>0.83674526219070844</v>
      </c>
      <c r="G11">
        <f t="shared" si="4"/>
        <v>0.54759233577671873</v>
      </c>
      <c r="H11">
        <v>256</v>
      </c>
      <c r="I11">
        <v>80</v>
      </c>
      <c r="J11">
        <v>192</v>
      </c>
      <c r="K11">
        <f t="shared" si="5"/>
        <v>41.79321287917864</v>
      </c>
      <c r="L11">
        <f t="shared" si="6"/>
        <v>-60.183637958839995</v>
      </c>
      <c r="M11">
        <f t="shared" si="7"/>
        <v>120.64650923102613</v>
      </c>
      <c r="N11">
        <f t="shared" si="8"/>
        <v>-180.67495571430203</v>
      </c>
      <c r="O11">
        <f t="shared" si="9"/>
        <v>214</v>
      </c>
      <c r="P11">
        <f t="shared" si="9"/>
        <v>140</v>
      </c>
      <c r="Q11">
        <f t="shared" si="10"/>
        <v>120</v>
      </c>
      <c r="R11">
        <f t="shared" si="11"/>
        <v>101</v>
      </c>
    </row>
    <row r="12" spans="2:18" x14ac:dyDescent="0.15">
      <c r="B12">
        <v>8</v>
      </c>
      <c r="C12">
        <f t="shared" si="0"/>
        <v>1.2042771838760873</v>
      </c>
      <c r="D12">
        <f t="shared" si="1"/>
        <v>0.87157241273869712</v>
      </c>
      <c r="E12">
        <f t="shared" si="2"/>
        <v>0.64358229755437646</v>
      </c>
      <c r="F12">
        <f t="shared" si="3"/>
        <v>0.79995128410675231</v>
      </c>
      <c r="G12">
        <f t="shared" si="4"/>
        <v>0.6000649490313178</v>
      </c>
      <c r="H12">
        <v>256</v>
      </c>
      <c r="I12">
        <v>80</v>
      </c>
      <c r="J12">
        <v>192</v>
      </c>
      <c r="K12">
        <f t="shared" si="5"/>
        <v>51.212471268671408</v>
      </c>
      <c r="L12">
        <f t="shared" si="6"/>
        <v>-73.616626952017356</v>
      </c>
      <c r="M12">
        <f t="shared" si="7"/>
        <v>137.62182392918118</v>
      </c>
      <c r="N12">
        <f t="shared" si="8"/>
        <v>-188.8096118633897</v>
      </c>
      <c r="O12">
        <f t="shared" si="9"/>
        <v>204</v>
      </c>
      <c r="P12">
        <f t="shared" si="9"/>
        <v>153</v>
      </c>
      <c r="Q12">
        <f t="shared" si="10"/>
        <v>137</v>
      </c>
      <c r="R12">
        <f t="shared" si="11"/>
        <v>97</v>
      </c>
    </row>
    <row r="13" spans="2:18" x14ac:dyDescent="0.15">
      <c r="B13">
        <v>9</v>
      </c>
      <c r="C13">
        <f t="shared" si="0"/>
        <v>1.2566370614359172</v>
      </c>
      <c r="D13">
        <f t="shared" si="1"/>
        <v>0.90450849718747361</v>
      </c>
      <c r="E13">
        <f t="shared" si="2"/>
        <v>0.70062926922203661</v>
      </c>
      <c r="F13">
        <f t="shared" si="3"/>
        <v>0.76443664951736678</v>
      </c>
      <c r="G13">
        <f t="shared" si="4"/>
        <v>0.64469885130552429</v>
      </c>
      <c r="H13">
        <v>256</v>
      </c>
      <c r="I13">
        <v>80</v>
      </c>
      <c r="J13">
        <v>192</v>
      </c>
      <c r="K13">
        <f t="shared" si="5"/>
        <v>60.304217723554103</v>
      </c>
      <c r="L13">
        <f t="shared" si="6"/>
        <v>-85.042905934214218</v>
      </c>
      <c r="M13">
        <f t="shared" si="7"/>
        <v>153.14085231154959</v>
      </c>
      <c r="N13">
        <f t="shared" si="8"/>
        <v>-195.12178346471504</v>
      </c>
      <c r="O13">
        <f t="shared" si="9"/>
        <v>195</v>
      </c>
      <c r="P13">
        <f t="shared" si="9"/>
        <v>165</v>
      </c>
      <c r="Q13">
        <f t="shared" si="10"/>
        <v>153</v>
      </c>
      <c r="R13">
        <f t="shared" si="11"/>
        <v>94</v>
      </c>
    </row>
    <row r="14" spans="2:18" x14ac:dyDescent="0.15">
      <c r="B14">
        <v>10</v>
      </c>
      <c r="C14">
        <f t="shared" si="0"/>
        <v>1.308996938995747</v>
      </c>
      <c r="D14">
        <f t="shared" si="1"/>
        <v>0.93301270189221919</v>
      </c>
      <c r="E14">
        <f t="shared" si="2"/>
        <v>0.74999999999999967</v>
      </c>
      <c r="F14">
        <f t="shared" si="3"/>
        <v>0.73168886887382112</v>
      </c>
      <c r="G14">
        <f t="shared" si="4"/>
        <v>0.6816387600233339</v>
      </c>
      <c r="H14">
        <v>256</v>
      </c>
      <c r="I14">
        <v>80</v>
      </c>
      <c r="J14">
        <v>192</v>
      </c>
      <c r="K14">
        <f t="shared" si="5"/>
        <v>68.687649568301794</v>
      </c>
      <c r="L14">
        <f t="shared" si="6"/>
        <v>-94.499522565973479</v>
      </c>
      <c r="M14">
        <f t="shared" si="7"/>
        <v>166.84363101166187</v>
      </c>
      <c r="N14">
        <f t="shared" si="8"/>
        <v>-199.86271968380373</v>
      </c>
      <c r="O14">
        <f t="shared" si="9"/>
        <v>187</v>
      </c>
      <c r="P14">
        <f t="shared" si="9"/>
        <v>174</v>
      </c>
      <c r="Q14">
        <f t="shared" si="10"/>
        <v>166</v>
      </c>
      <c r="R14">
        <f t="shared" si="11"/>
        <v>92</v>
      </c>
    </row>
    <row r="15" spans="2:18" x14ac:dyDescent="0.15">
      <c r="B15">
        <v>11</v>
      </c>
      <c r="C15">
        <f t="shared" si="0"/>
        <v>1.3613568165555769</v>
      </c>
      <c r="D15">
        <f t="shared" si="1"/>
        <v>0.95677272882130038</v>
      </c>
      <c r="E15">
        <f t="shared" si="2"/>
        <v>0.7911535738303731</v>
      </c>
      <c r="F15">
        <f t="shared" si="3"/>
        <v>0.70302540257370372</v>
      </c>
      <c r="G15">
        <f t="shared" si="4"/>
        <v>0.71116473712922657</v>
      </c>
      <c r="H15">
        <v>256</v>
      </c>
      <c r="I15">
        <v>80</v>
      </c>
      <c r="J15">
        <v>192</v>
      </c>
      <c r="K15">
        <f t="shared" si="5"/>
        <v>76.025496941131848</v>
      </c>
      <c r="L15">
        <f t="shared" si="6"/>
        <v>-102.058172705082</v>
      </c>
      <c r="M15">
        <f t="shared" si="7"/>
        <v>178.43321908774047</v>
      </c>
      <c r="N15">
        <f t="shared" si="8"/>
        <v>-203.29383067569535</v>
      </c>
      <c r="O15">
        <f t="shared" si="9"/>
        <v>179</v>
      </c>
      <c r="P15">
        <f t="shared" si="9"/>
        <v>182</v>
      </c>
      <c r="Q15">
        <f t="shared" si="10"/>
        <v>178</v>
      </c>
      <c r="R15">
        <f t="shared" si="11"/>
        <v>90</v>
      </c>
    </row>
    <row r="16" spans="2:18" x14ac:dyDescent="0.15">
      <c r="B16">
        <v>12</v>
      </c>
      <c r="C16">
        <f t="shared" si="0"/>
        <v>1.4137166941154069</v>
      </c>
      <c r="D16">
        <f t="shared" si="1"/>
        <v>0.97552825814757682</v>
      </c>
      <c r="E16">
        <f t="shared" si="2"/>
        <v>0.82363910354633196</v>
      </c>
      <c r="F16">
        <f t="shared" si="3"/>
        <v>0.67955598043024734</v>
      </c>
      <c r="G16">
        <f t="shared" si="4"/>
        <v>0.73362365655796935</v>
      </c>
      <c r="H16">
        <v>256</v>
      </c>
      <c r="I16">
        <v>80</v>
      </c>
      <c r="J16">
        <v>192</v>
      </c>
      <c r="K16">
        <f t="shared" si="5"/>
        <v>82.033669009856681</v>
      </c>
      <c r="L16">
        <f t="shared" si="6"/>
        <v>-107.80765607884015</v>
      </c>
      <c r="M16">
        <f t="shared" si="7"/>
        <v>187.67547555420427</v>
      </c>
      <c r="N16">
        <f t="shared" si="8"/>
        <v>-205.66371726079578</v>
      </c>
      <c r="O16">
        <f t="shared" si="9"/>
        <v>173</v>
      </c>
      <c r="P16">
        <f t="shared" si="9"/>
        <v>187</v>
      </c>
      <c r="Q16">
        <f t="shared" si="10"/>
        <v>187</v>
      </c>
      <c r="R16">
        <f t="shared" si="11"/>
        <v>89</v>
      </c>
    </row>
    <row r="17" spans="2:18" x14ac:dyDescent="0.15">
      <c r="B17">
        <v>13</v>
      </c>
      <c r="C17">
        <f t="shared" si="0"/>
        <v>1.4660765716752369</v>
      </c>
      <c r="D17">
        <f t="shared" si="1"/>
        <v>0.98907380036690273</v>
      </c>
      <c r="E17">
        <f t="shared" si="2"/>
        <v>0.84710067088627372</v>
      </c>
      <c r="F17">
        <f t="shared" si="3"/>
        <v>0.66215857804117784</v>
      </c>
      <c r="G17">
        <f t="shared" si="4"/>
        <v>0.7493637418013267</v>
      </c>
      <c r="H17">
        <v>256</v>
      </c>
      <c r="I17">
        <v>80</v>
      </c>
      <c r="J17">
        <v>192</v>
      </c>
      <c r="K17">
        <f t="shared" si="5"/>
        <v>86.487404021458474</v>
      </c>
      <c r="L17">
        <f t="shared" si="6"/>
        <v>-111.83711790113964</v>
      </c>
      <c r="M17">
        <f t="shared" si="7"/>
        <v>194.39578284084951</v>
      </c>
      <c r="N17">
        <f t="shared" si="8"/>
        <v>-207.18795313906924</v>
      </c>
      <c r="O17">
        <f t="shared" si="9"/>
        <v>169</v>
      </c>
      <c r="P17">
        <f t="shared" si="9"/>
        <v>191</v>
      </c>
      <c r="Q17">
        <f t="shared" si="10"/>
        <v>194</v>
      </c>
      <c r="R17">
        <f t="shared" si="11"/>
        <v>88</v>
      </c>
    </row>
    <row r="18" spans="2:18" x14ac:dyDescent="0.15">
      <c r="B18">
        <v>14</v>
      </c>
      <c r="C18">
        <f t="shared" si="0"/>
        <v>1.5184364492350668</v>
      </c>
      <c r="D18">
        <f t="shared" si="1"/>
        <v>0.99726094768413653</v>
      </c>
      <c r="E18">
        <f t="shared" si="2"/>
        <v>0.86128122600877388</v>
      </c>
      <c r="F18">
        <f t="shared" si="3"/>
        <v>0.65146596532650614</v>
      </c>
      <c r="G18">
        <f t="shared" si="4"/>
        <v>0.75867786050550035</v>
      </c>
      <c r="H18">
        <v>256</v>
      </c>
      <c r="I18">
        <v>80</v>
      </c>
      <c r="J18">
        <v>192</v>
      </c>
      <c r="K18">
        <f t="shared" si="5"/>
        <v>89.224712876414429</v>
      </c>
      <c r="L18">
        <f t="shared" si="6"/>
        <v>-114.22153228940809</v>
      </c>
      <c r="M18">
        <f t="shared" si="7"/>
        <v>198.47432478920649</v>
      </c>
      <c r="N18">
        <f t="shared" si="8"/>
        <v>-208.03263129642497</v>
      </c>
      <c r="O18">
        <f t="shared" si="9"/>
        <v>166</v>
      </c>
      <c r="P18">
        <f t="shared" si="9"/>
        <v>194</v>
      </c>
      <c r="Q18">
        <f t="shared" si="10"/>
        <v>198</v>
      </c>
      <c r="R18">
        <f t="shared" si="11"/>
        <v>87</v>
      </c>
    </row>
    <row r="19" spans="2:18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0.8660254037844386</v>
      </c>
      <c r="F19">
        <f t="shared" si="3"/>
        <v>0.647859344852457</v>
      </c>
      <c r="G19">
        <f t="shared" si="4"/>
        <v>0.7617599814162892</v>
      </c>
      <c r="H19">
        <v>256</v>
      </c>
      <c r="I19">
        <v>80</v>
      </c>
      <c r="J19">
        <v>192</v>
      </c>
      <c r="K19">
        <f t="shared" si="5"/>
        <v>90.148007717771009</v>
      </c>
      <c r="L19">
        <f t="shared" si="6"/>
        <v>-115.01055524257004</v>
      </c>
      <c r="M19">
        <f t="shared" si="7"/>
        <v>199.84144504171667</v>
      </c>
      <c r="N19">
        <f t="shared" si="8"/>
        <v>-208.30230090132386</v>
      </c>
      <c r="O19">
        <f t="shared" si="9"/>
        <v>165</v>
      </c>
      <c r="P19">
        <f t="shared" si="9"/>
        <v>195</v>
      </c>
      <c r="Q19">
        <f t="shared" si="10"/>
        <v>199</v>
      </c>
      <c r="R19">
        <f t="shared" si="11"/>
        <v>87</v>
      </c>
    </row>
    <row r="20" spans="2:18" x14ac:dyDescent="0.15">
      <c r="B20">
        <v>16</v>
      </c>
      <c r="C20">
        <f t="shared" si="0"/>
        <v>1.6231562043547263</v>
      </c>
      <c r="D20">
        <f t="shared" si="1"/>
        <v>0.99726094768413653</v>
      </c>
      <c r="E20">
        <f t="shared" si="2"/>
        <v>0.86128122600877388</v>
      </c>
      <c r="F20">
        <f t="shared" si="3"/>
        <v>0.65146596532650614</v>
      </c>
      <c r="G20">
        <f t="shared" si="4"/>
        <v>0.75867786050550035</v>
      </c>
      <c r="H20">
        <v>256</v>
      </c>
      <c r="I20">
        <v>80</v>
      </c>
      <c r="J20">
        <v>192</v>
      </c>
      <c r="K20">
        <f t="shared" si="5"/>
        <v>89.224712876414429</v>
      </c>
      <c r="L20">
        <f t="shared" si="6"/>
        <v>-114.22153228940809</v>
      </c>
      <c r="M20">
        <f t="shared" si="7"/>
        <v>198.47432478920649</v>
      </c>
      <c r="N20">
        <f t="shared" si="8"/>
        <v>-208.03263129642497</v>
      </c>
      <c r="O20">
        <f t="shared" si="9"/>
        <v>166</v>
      </c>
      <c r="P20">
        <f t="shared" si="9"/>
        <v>194</v>
      </c>
      <c r="Q20">
        <f t="shared" si="10"/>
        <v>198</v>
      </c>
      <c r="R20">
        <f t="shared" si="11"/>
        <v>87</v>
      </c>
    </row>
    <row r="21" spans="2:18" x14ac:dyDescent="0.15">
      <c r="B21">
        <v>17</v>
      </c>
      <c r="C21">
        <f t="shared" si="0"/>
        <v>1.6755160819145565</v>
      </c>
      <c r="D21">
        <f t="shared" si="1"/>
        <v>0.98907380036690273</v>
      </c>
      <c r="E21">
        <f t="shared" si="2"/>
        <v>0.84710067088627372</v>
      </c>
      <c r="F21">
        <f t="shared" si="3"/>
        <v>0.66215857804117784</v>
      </c>
      <c r="G21">
        <f t="shared" si="4"/>
        <v>0.7493637418013267</v>
      </c>
      <c r="H21">
        <v>256</v>
      </c>
      <c r="I21">
        <v>80</v>
      </c>
      <c r="J21">
        <v>192</v>
      </c>
      <c r="K21">
        <f t="shared" si="5"/>
        <v>86.487404021458474</v>
      </c>
      <c r="L21">
        <f t="shared" si="6"/>
        <v>-111.83711790113964</v>
      </c>
      <c r="M21">
        <f t="shared" si="7"/>
        <v>194.39578284084951</v>
      </c>
      <c r="N21">
        <f t="shared" si="8"/>
        <v>-207.18795313906924</v>
      </c>
      <c r="O21">
        <f t="shared" si="9"/>
        <v>169</v>
      </c>
      <c r="P21">
        <f t="shared" si="9"/>
        <v>191</v>
      </c>
      <c r="Q21">
        <f t="shared" si="10"/>
        <v>194</v>
      </c>
      <c r="R21">
        <f t="shared" si="11"/>
        <v>88</v>
      </c>
    </row>
    <row r="22" spans="2:18" x14ac:dyDescent="0.15">
      <c r="B22">
        <v>18</v>
      </c>
      <c r="C22">
        <f t="shared" si="0"/>
        <v>1.7278759594743862</v>
      </c>
      <c r="D22">
        <f t="shared" si="1"/>
        <v>0.97552825814757682</v>
      </c>
      <c r="E22">
        <f t="shared" si="2"/>
        <v>0.82363910354633196</v>
      </c>
      <c r="F22">
        <f t="shared" si="3"/>
        <v>0.67955598043024734</v>
      </c>
      <c r="G22">
        <f t="shared" si="4"/>
        <v>0.73362365655796935</v>
      </c>
      <c r="H22">
        <v>256</v>
      </c>
      <c r="I22">
        <v>80</v>
      </c>
      <c r="J22">
        <v>192</v>
      </c>
      <c r="K22">
        <f t="shared" si="5"/>
        <v>82.033669009856681</v>
      </c>
      <c r="L22">
        <f t="shared" si="6"/>
        <v>-107.80765607884015</v>
      </c>
      <c r="M22">
        <f t="shared" si="7"/>
        <v>187.67547555420427</v>
      </c>
      <c r="N22">
        <f t="shared" si="8"/>
        <v>-205.66371726079578</v>
      </c>
      <c r="O22">
        <f t="shared" si="9"/>
        <v>173</v>
      </c>
      <c r="P22">
        <f t="shared" si="9"/>
        <v>187</v>
      </c>
      <c r="Q22">
        <f t="shared" si="10"/>
        <v>187</v>
      </c>
      <c r="R22">
        <f t="shared" si="11"/>
        <v>89</v>
      </c>
    </row>
    <row r="23" spans="2:18" x14ac:dyDescent="0.15">
      <c r="B23">
        <v>19</v>
      </c>
      <c r="C23">
        <f t="shared" si="0"/>
        <v>1.780235837034216</v>
      </c>
      <c r="D23">
        <f t="shared" si="1"/>
        <v>0.9567727288213006</v>
      </c>
      <c r="E23">
        <f t="shared" si="2"/>
        <v>0.79115357383037344</v>
      </c>
      <c r="F23">
        <f t="shared" si="3"/>
        <v>0.7030254025737035</v>
      </c>
      <c r="G23">
        <f t="shared" si="4"/>
        <v>0.71116473712922679</v>
      </c>
      <c r="H23">
        <v>256</v>
      </c>
      <c r="I23">
        <v>80</v>
      </c>
      <c r="J23">
        <v>192</v>
      </c>
      <c r="K23">
        <f t="shared" si="5"/>
        <v>76.025496941131905</v>
      </c>
      <c r="L23">
        <f t="shared" si="6"/>
        <v>-102.05817270508206</v>
      </c>
      <c r="M23">
        <f t="shared" si="7"/>
        <v>178.43321908774055</v>
      </c>
      <c r="N23">
        <f t="shared" si="8"/>
        <v>-203.29383067569535</v>
      </c>
      <c r="O23">
        <f t="shared" si="9"/>
        <v>179</v>
      </c>
      <c r="P23">
        <f t="shared" si="9"/>
        <v>182</v>
      </c>
      <c r="Q23">
        <f t="shared" si="10"/>
        <v>178</v>
      </c>
      <c r="R23">
        <f t="shared" si="11"/>
        <v>90</v>
      </c>
    </row>
    <row r="24" spans="2:18" x14ac:dyDescent="0.15">
      <c r="B24">
        <v>20</v>
      </c>
      <c r="C24">
        <f t="shared" si="0"/>
        <v>1.8325957145940459</v>
      </c>
      <c r="D24">
        <f t="shared" si="1"/>
        <v>0.93301270189221941</v>
      </c>
      <c r="E24">
        <f t="shared" si="2"/>
        <v>0.75000000000000011</v>
      </c>
      <c r="F24">
        <f t="shared" si="3"/>
        <v>0.73168886887382079</v>
      </c>
      <c r="G24">
        <f t="shared" si="4"/>
        <v>0.68163876002333423</v>
      </c>
      <c r="H24">
        <v>256</v>
      </c>
      <c r="I24">
        <v>80</v>
      </c>
      <c r="J24">
        <v>192</v>
      </c>
      <c r="K24">
        <f t="shared" si="5"/>
        <v>68.687649568301879</v>
      </c>
      <c r="L24">
        <f t="shared" si="6"/>
        <v>-94.499522565973564</v>
      </c>
      <c r="M24">
        <f t="shared" si="7"/>
        <v>166.84363101166201</v>
      </c>
      <c r="N24">
        <f t="shared" si="8"/>
        <v>-199.86271968380376</v>
      </c>
      <c r="O24">
        <f t="shared" si="9"/>
        <v>187</v>
      </c>
      <c r="P24">
        <f t="shared" si="9"/>
        <v>174</v>
      </c>
      <c r="Q24">
        <f t="shared" si="10"/>
        <v>166</v>
      </c>
      <c r="R24">
        <f t="shared" si="11"/>
        <v>92</v>
      </c>
    </row>
    <row r="25" spans="2:18" x14ac:dyDescent="0.15">
      <c r="B25">
        <v>21</v>
      </c>
      <c r="C25">
        <f t="shared" si="0"/>
        <v>1.8849555921538759</v>
      </c>
      <c r="D25">
        <f t="shared" si="1"/>
        <v>0.90450849718747384</v>
      </c>
      <c r="E25">
        <f t="shared" si="2"/>
        <v>0.70062926922203694</v>
      </c>
      <c r="F25">
        <f t="shared" si="3"/>
        <v>0.76443664951736656</v>
      </c>
      <c r="G25">
        <f t="shared" si="4"/>
        <v>0.64469885130552462</v>
      </c>
      <c r="H25">
        <v>256</v>
      </c>
      <c r="I25">
        <v>80</v>
      </c>
      <c r="J25">
        <v>192</v>
      </c>
      <c r="K25">
        <f t="shared" si="5"/>
        <v>60.30421772355416</v>
      </c>
      <c r="L25">
        <f t="shared" si="6"/>
        <v>-85.042905934214303</v>
      </c>
      <c r="M25">
        <f t="shared" si="7"/>
        <v>153.14085231154971</v>
      </c>
      <c r="N25">
        <f t="shared" si="8"/>
        <v>-195.12178346471509</v>
      </c>
      <c r="O25">
        <f t="shared" si="9"/>
        <v>195</v>
      </c>
      <c r="P25">
        <f t="shared" si="9"/>
        <v>165</v>
      </c>
      <c r="Q25">
        <f t="shared" si="10"/>
        <v>153</v>
      </c>
      <c r="R25">
        <f t="shared" si="11"/>
        <v>94</v>
      </c>
    </row>
    <row r="26" spans="2:18" x14ac:dyDescent="0.15">
      <c r="B26">
        <v>22</v>
      </c>
      <c r="C26">
        <f t="shared" si="0"/>
        <v>1.9373154697137056</v>
      </c>
      <c r="D26">
        <f t="shared" si="1"/>
        <v>0.87157241273869734</v>
      </c>
      <c r="E26">
        <f t="shared" si="2"/>
        <v>0.6435822975543769</v>
      </c>
      <c r="F26">
        <f t="shared" si="3"/>
        <v>0.79995128410675209</v>
      </c>
      <c r="G26">
        <f t="shared" si="4"/>
        <v>0.60006494903131813</v>
      </c>
      <c r="H26">
        <v>256</v>
      </c>
      <c r="I26">
        <v>80</v>
      </c>
      <c r="J26">
        <v>192</v>
      </c>
      <c r="K26">
        <f t="shared" si="5"/>
        <v>51.212471268671464</v>
      </c>
      <c r="L26">
        <f t="shared" si="6"/>
        <v>-73.616626952017441</v>
      </c>
      <c r="M26">
        <f t="shared" si="7"/>
        <v>137.62182392918129</v>
      </c>
      <c r="N26">
        <f t="shared" si="8"/>
        <v>-188.80961186338976</v>
      </c>
      <c r="O26">
        <f t="shared" si="9"/>
        <v>204</v>
      </c>
      <c r="P26">
        <f t="shared" si="9"/>
        <v>153</v>
      </c>
      <c r="Q26">
        <f t="shared" si="10"/>
        <v>137</v>
      </c>
      <c r="R26">
        <f t="shared" si="11"/>
        <v>97</v>
      </c>
    </row>
    <row r="27" spans="2:18" x14ac:dyDescent="0.15">
      <c r="B27">
        <v>23</v>
      </c>
      <c r="C27">
        <f t="shared" si="0"/>
        <v>1.9896753472735356</v>
      </c>
      <c r="D27">
        <f t="shared" si="1"/>
        <v>0.83456530317942923</v>
      </c>
      <c r="E27">
        <f t="shared" si="2"/>
        <v>0.57948410355645663</v>
      </c>
      <c r="F27">
        <f t="shared" si="3"/>
        <v>0.83674526219070822</v>
      </c>
      <c r="G27">
        <f t="shared" si="4"/>
        <v>0.54759233577671895</v>
      </c>
      <c r="H27">
        <v>256</v>
      </c>
      <c r="I27">
        <v>80</v>
      </c>
      <c r="J27">
        <v>192</v>
      </c>
      <c r="K27">
        <f t="shared" si="5"/>
        <v>41.793212879178697</v>
      </c>
      <c r="L27">
        <f t="shared" si="6"/>
        <v>-60.183637958840052</v>
      </c>
      <c r="M27">
        <f t="shared" si="7"/>
        <v>120.64650923102623</v>
      </c>
      <c r="N27">
        <f t="shared" si="8"/>
        <v>-180.67495571430203</v>
      </c>
      <c r="O27">
        <f t="shared" si="9"/>
        <v>214</v>
      </c>
      <c r="P27">
        <f t="shared" si="9"/>
        <v>140</v>
      </c>
      <c r="Q27">
        <f t="shared" si="10"/>
        <v>120</v>
      </c>
      <c r="R27">
        <f t="shared" si="11"/>
        <v>101</v>
      </c>
    </row>
    <row r="28" spans="2:18" x14ac:dyDescent="0.15">
      <c r="B28">
        <v>24</v>
      </c>
      <c r="C28">
        <f t="shared" si="0"/>
        <v>2.0420352248333655</v>
      </c>
      <c r="D28">
        <f t="shared" si="1"/>
        <v>0.79389262614623668</v>
      </c>
      <c r="E28">
        <f t="shared" si="2"/>
        <v>0.50903696045512736</v>
      </c>
      <c r="F28">
        <f t="shared" si="3"/>
        <v>0.87321423685543031</v>
      </c>
      <c r="G28">
        <f t="shared" si="4"/>
        <v>0.48733653316059578</v>
      </c>
      <c r="H28">
        <v>256</v>
      </c>
      <c r="I28">
        <v>80</v>
      </c>
      <c r="J28">
        <v>192</v>
      </c>
      <c r="K28">
        <f t="shared" si="5"/>
        <v>32.457155365009839</v>
      </c>
      <c r="L28">
        <f t="shared" si="6"/>
        <v>-44.758152489112518</v>
      </c>
      <c r="M28">
        <f t="shared" si="7"/>
        <v>102.63361614013563</v>
      </c>
      <c r="N28">
        <f t="shared" si="8"/>
        <v>-170.50100259629448</v>
      </c>
      <c r="O28">
        <f t="shared" si="9"/>
        <v>223</v>
      </c>
      <c r="P28">
        <f t="shared" si="9"/>
        <v>124</v>
      </c>
      <c r="Q28">
        <f t="shared" si="10"/>
        <v>102</v>
      </c>
      <c r="R28">
        <f t="shared" si="11"/>
        <v>106</v>
      </c>
    </row>
    <row r="29" spans="2:18" x14ac:dyDescent="0.15">
      <c r="B29">
        <v>25</v>
      </c>
      <c r="C29">
        <f t="shared" si="0"/>
        <v>2.0943951023931957</v>
      </c>
      <c r="D29">
        <f t="shared" si="1"/>
        <v>0.74999999999999967</v>
      </c>
      <c r="E29">
        <f t="shared" si="2"/>
        <v>0.43301270189221874</v>
      </c>
      <c r="F29">
        <f t="shared" si="3"/>
        <v>0.90770571906660857</v>
      </c>
      <c r="G29">
        <f t="shared" si="4"/>
        <v>0.4196073492847463</v>
      </c>
      <c r="H29">
        <v>256</v>
      </c>
      <c r="I29">
        <v>80</v>
      </c>
      <c r="J29">
        <v>192</v>
      </c>
      <c r="K29">
        <f t="shared" si="5"/>
        <v>23.627335918948205</v>
      </c>
      <c r="L29">
        <f t="shared" si="6"/>
        <v>-27.419481416895053</v>
      </c>
      <c r="M29">
        <f t="shared" si="7"/>
        <v>84.050794215951669</v>
      </c>
      <c r="N29">
        <f t="shared" si="8"/>
        <v>-158.12910496248668</v>
      </c>
      <c r="O29">
        <f t="shared" si="9"/>
        <v>232</v>
      </c>
      <c r="P29">
        <f t="shared" si="9"/>
        <v>107</v>
      </c>
      <c r="Q29">
        <f t="shared" si="10"/>
        <v>84</v>
      </c>
      <c r="R29">
        <f t="shared" si="11"/>
        <v>112</v>
      </c>
    </row>
    <row r="30" spans="2:18" x14ac:dyDescent="0.15">
      <c r="B30">
        <v>26</v>
      </c>
      <c r="C30">
        <f t="shared" si="0"/>
        <v>2.1467549799530254</v>
      </c>
      <c r="D30">
        <f t="shared" si="1"/>
        <v>0.70336832153789997</v>
      </c>
      <c r="E30">
        <f t="shared" si="2"/>
        <v>0.35224426555364674</v>
      </c>
      <c r="F30">
        <f t="shared" si="3"/>
        <v>0.93860079407431984</v>
      </c>
      <c r="G30">
        <f t="shared" si="4"/>
        <v>0.3450051439660809</v>
      </c>
      <c r="H30">
        <v>256</v>
      </c>
      <c r="I30">
        <v>80</v>
      </c>
      <c r="J30">
        <v>192</v>
      </c>
      <c r="K30">
        <f t="shared" si="5"/>
        <v>15.71819671697412</v>
      </c>
      <c r="L30">
        <f t="shared" si="6"/>
        <v>-8.3213168553167094</v>
      </c>
      <c r="M30">
        <f t="shared" si="7"/>
        <v>65.398937448089768</v>
      </c>
      <c r="N30">
        <f t="shared" si="8"/>
        <v>-143.47983120201877</v>
      </c>
      <c r="O30">
        <f t="shared" si="9"/>
        <v>240</v>
      </c>
      <c r="P30">
        <f t="shared" si="9"/>
        <v>88</v>
      </c>
      <c r="Q30">
        <f t="shared" si="10"/>
        <v>65</v>
      </c>
      <c r="R30">
        <f t="shared" si="11"/>
        <v>120</v>
      </c>
    </row>
    <row r="31" spans="2:18" x14ac:dyDescent="0.15">
      <c r="B31">
        <v>27</v>
      </c>
      <c r="C31">
        <f t="shared" si="0"/>
        <v>2.1991148575128552</v>
      </c>
      <c r="D31">
        <f t="shared" si="1"/>
        <v>0.65450849718747373</v>
      </c>
      <c r="E31">
        <f t="shared" si="2"/>
        <v>0.26761656732981748</v>
      </c>
      <c r="F31">
        <f t="shared" si="3"/>
        <v>0.96440389471426236</v>
      </c>
      <c r="G31">
        <f t="shared" si="4"/>
        <v>0.26443359820560219</v>
      </c>
      <c r="H31">
        <v>256</v>
      </c>
      <c r="I31">
        <v>80</v>
      </c>
      <c r="J31">
        <v>192</v>
      </c>
      <c r="K31">
        <f t="shared" si="5"/>
        <v>9.1126029531488371</v>
      </c>
      <c r="L31">
        <f t="shared" si="6"/>
        <v>12.304998859365838</v>
      </c>
      <c r="M31">
        <f t="shared" si="7"/>
        <v>47.191041094755555</v>
      </c>
      <c r="N31">
        <f t="shared" si="8"/>
        <v>-126.56916197948794</v>
      </c>
      <c r="O31">
        <f t="shared" si="9"/>
        <v>246</v>
      </c>
      <c r="P31">
        <f t="shared" si="9"/>
        <v>67</v>
      </c>
      <c r="Q31">
        <f t="shared" si="10"/>
        <v>47</v>
      </c>
      <c r="R31">
        <f t="shared" si="11"/>
        <v>128</v>
      </c>
    </row>
    <row r="32" spans="2:18" x14ac:dyDescent="0.15">
      <c r="B32">
        <v>28</v>
      </c>
      <c r="C32">
        <f t="shared" si="0"/>
        <v>2.2514747350726854</v>
      </c>
      <c r="D32">
        <f t="shared" si="1"/>
        <v>0.60395584540887948</v>
      </c>
      <c r="E32">
        <f t="shared" si="2"/>
        <v>0.18005680599195506</v>
      </c>
      <c r="F32">
        <f t="shared" si="3"/>
        <v>0.98383352124822632</v>
      </c>
      <c r="G32">
        <f t="shared" si="4"/>
        <v>0.17908546135383455</v>
      </c>
      <c r="H32">
        <v>256</v>
      </c>
      <c r="I32">
        <v>80</v>
      </c>
      <c r="J32">
        <v>192</v>
      </c>
      <c r="K32">
        <f t="shared" si="5"/>
        <v>4.1386185604540628</v>
      </c>
      <c r="L32">
        <f t="shared" si="6"/>
        <v>34.154121893418356</v>
      </c>
      <c r="M32">
        <f t="shared" si="7"/>
        <v>29.926924995406239</v>
      </c>
      <c r="N32">
        <f t="shared" si="8"/>
        <v>-107.51790516632622</v>
      </c>
      <c r="O32">
        <f t="shared" si="9"/>
        <v>251</v>
      </c>
      <c r="P32">
        <f t="shared" si="9"/>
        <v>45</v>
      </c>
      <c r="Q32">
        <f t="shared" si="10"/>
        <v>29</v>
      </c>
      <c r="R32">
        <f t="shared" si="11"/>
        <v>138</v>
      </c>
    </row>
    <row r="33" spans="2:18" x14ac:dyDescent="0.15">
      <c r="B33">
        <v>29</v>
      </c>
      <c r="C33">
        <f t="shared" si="0"/>
        <v>2.3038346126325151</v>
      </c>
      <c r="D33">
        <f t="shared" si="1"/>
        <v>0.55226423163382676</v>
      </c>
      <c r="E33">
        <f t="shared" si="2"/>
        <v>9.0524304608336506E-2</v>
      </c>
      <c r="F33">
        <f t="shared" si="3"/>
        <v>0.99590547238524751</v>
      </c>
      <c r="G33">
        <f t="shared" si="4"/>
        <v>9.0400719428094231E-2</v>
      </c>
      <c r="H33">
        <v>256</v>
      </c>
      <c r="I33">
        <v>80</v>
      </c>
      <c r="J33">
        <v>192</v>
      </c>
      <c r="K33">
        <f t="shared" si="5"/>
        <v>1.0481990693766363</v>
      </c>
      <c r="L33">
        <f t="shared" si="6"/>
        <v>56.857415826407873</v>
      </c>
      <c r="M33">
        <f t="shared" si="7"/>
        <v>14.065902667022206</v>
      </c>
      <c r="N33">
        <f t="shared" si="8"/>
        <v>-86.55297219706776</v>
      </c>
      <c r="O33">
        <f t="shared" si="9"/>
        <v>254</v>
      </c>
      <c r="P33">
        <f t="shared" si="9"/>
        <v>23</v>
      </c>
      <c r="Q33">
        <f t="shared" si="10"/>
        <v>14</v>
      </c>
      <c r="R33">
        <f t="shared" si="11"/>
        <v>148</v>
      </c>
    </row>
    <row r="34" spans="2:18" x14ac:dyDescent="0.15">
      <c r="B34">
        <v>30</v>
      </c>
      <c r="C34">
        <f t="shared" si="0"/>
        <v>2.3561944901923448</v>
      </c>
      <c r="D34">
        <f t="shared" si="1"/>
        <v>0.50000000000000011</v>
      </c>
      <c r="E34">
        <f t="shared" si="2"/>
        <v>1.9229626863835638E-16</v>
      </c>
      <c r="F34">
        <f t="shared" si="3"/>
        <v>1</v>
      </c>
      <c r="G34">
        <f t="shared" si="4"/>
        <v>1.9229626863835638E-16</v>
      </c>
      <c r="H34">
        <v>256</v>
      </c>
      <c r="I34">
        <v>80</v>
      </c>
      <c r="J34">
        <v>192</v>
      </c>
      <c r="K34">
        <f t="shared" si="5"/>
        <v>0</v>
      </c>
      <c r="L34">
        <f t="shared" si="6"/>
        <v>79.999999999999957</v>
      </c>
      <c r="M34">
        <f t="shared" si="7"/>
        <v>2.7690662683923318E-14</v>
      </c>
      <c r="N34">
        <f t="shared" si="8"/>
        <v>-64.000000000000043</v>
      </c>
      <c r="O34">
        <f t="shared" si="9"/>
        <v>256</v>
      </c>
      <c r="P34">
        <f t="shared" si="9"/>
        <v>0</v>
      </c>
      <c r="Q34">
        <f t="shared" si="10"/>
        <v>0</v>
      </c>
      <c r="R34">
        <f t="shared" si="11"/>
        <v>160</v>
      </c>
    </row>
    <row r="35" spans="2:18" x14ac:dyDescent="0.15">
      <c r="B35">
        <v>31</v>
      </c>
      <c r="C35">
        <f t="shared" si="0"/>
        <v>2.4085543677521746</v>
      </c>
      <c r="D35">
        <f t="shared" si="1"/>
        <v>0.44773576836617346</v>
      </c>
      <c r="E35">
        <f t="shared" si="2"/>
        <v>-9.0524304608336117E-2</v>
      </c>
      <c r="F35">
        <f t="shared" si="3"/>
        <v>0.99590547238524751</v>
      </c>
      <c r="G35">
        <f t="shared" si="4"/>
        <v>-9.0400719428093843E-2</v>
      </c>
      <c r="H35">
        <v>256</v>
      </c>
      <c r="I35">
        <v>80</v>
      </c>
      <c r="J35">
        <v>192</v>
      </c>
      <c r="K35">
        <f t="shared" si="5"/>
        <v>1.0481990693766363</v>
      </c>
      <c r="L35">
        <f t="shared" si="6"/>
        <v>103.14258417359203</v>
      </c>
      <c r="M35">
        <f t="shared" si="7"/>
        <v>-11.969504528268876</v>
      </c>
      <c r="N35">
        <f t="shared" si="8"/>
        <v>-40.267803849883606</v>
      </c>
      <c r="O35">
        <f t="shared" si="9"/>
        <v>254</v>
      </c>
      <c r="P35">
        <f t="shared" si="9"/>
        <v>-24</v>
      </c>
      <c r="Q35">
        <f t="shared" si="10"/>
        <v>-12</v>
      </c>
      <c r="R35">
        <f t="shared" si="11"/>
        <v>171</v>
      </c>
    </row>
    <row r="36" spans="2:18" x14ac:dyDescent="0.15">
      <c r="B36">
        <v>32</v>
      </c>
      <c r="C36">
        <f t="shared" si="0"/>
        <v>2.4609142453120043</v>
      </c>
      <c r="D36">
        <f t="shared" si="1"/>
        <v>0.39604415459112069</v>
      </c>
      <c r="E36">
        <f t="shared" si="2"/>
        <v>-0.18005680599195475</v>
      </c>
      <c r="F36">
        <f t="shared" si="3"/>
        <v>0.98383352124822643</v>
      </c>
      <c r="G36">
        <f t="shared" si="4"/>
        <v>-0.17908546135383427</v>
      </c>
      <c r="H36">
        <v>256</v>
      </c>
      <c r="I36">
        <v>80</v>
      </c>
      <c r="J36">
        <v>192</v>
      </c>
      <c r="K36">
        <f t="shared" si="5"/>
        <v>4.1386185604540344</v>
      </c>
      <c r="L36">
        <f t="shared" si="6"/>
        <v>125.84587810658158</v>
      </c>
      <c r="M36">
        <f t="shared" si="7"/>
        <v>-21.649687874498099</v>
      </c>
      <c r="N36">
        <f t="shared" si="8"/>
        <v>-15.826148953163027</v>
      </c>
      <c r="O36">
        <f t="shared" si="9"/>
        <v>251</v>
      </c>
      <c r="P36">
        <f t="shared" si="9"/>
        <v>-46</v>
      </c>
      <c r="Q36">
        <f t="shared" si="10"/>
        <v>-22</v>
      </c>
      <c r="R36">
        <f t="shared" si="11"/>
        <v>184</v>
      </c>
    </row>
    <row r="37" spans="2:18" x14ac:dyDescent="0.15">
      <c r="B37">
        <v>33</v>
      </c>
      <c r="C37">
        <f t="shared" si="0"/>
        <v>2.5132741228718345</v>
      </c>
      <c r="D37">
        <f t="shared" si="1"/>
        <v>0.34549150281252644</v>
      </c>
      <c r="E37">
        <f t="shared" si="2"/>
        <v>-0.26761656732981715</v>
      </c>
      <c r="F37">
        <f t="shared" si="3"/>
        <v>0.96440389471426247</v>
      </c>
      <c r="G37">
        <f t="shared" si="4"/>
        <v>-0.26443359820560192</v>
      </c>
      <c r="H37">
        <v>256</v>
      </c>
      <c r="I37">
        <v>80</v>
      </c>
      <c r="J37">
        <v>192</v>
      </c>
      <c r="K37">
        <f t="shared" si="5"/>
        <v>9.1126029531488086</v>
      </c>
      <c r="L37">
        <f t="shared" si="6"/>
        <v>147.69500114063408</v>
      </c>
      <c r="M37">
        <f t="shared" si="7"/>
        <v>-28.965835188457866</v>
      </c>
      <c r="N37">
        <f t="shared" si="8"/>
        <v>8.8208403017802937</v>
      </c>
      <c r="O37">
        <f t="shared" si="9"/>
        <v>246</v>
      </c>
      <c r="P37">
        <f t="shared" si="9"/>
        <v>-68</v>
      </c>
      <c r="Q37">
        <f t="shared" si="10"/>
        <v>-29</v>
      </c>
      <c r="R37">
        <f t="shared" si="11"/>
        <v>196</v>
      </c>
    </row>
    <row r="38" spans="2:18" x14ac:dyDescent="0.15">
      <c r="B38">
        <v>34</v>
      </c>
      <c r="C38">
        <f t="shared" si="0"/>
        <v>2.5656340004316647</v>
      </c>
      <c r="D38">
        <f t="shared" si="1"/>
        <v>0.29663167846209976</v>
      </c>
      <c r="E38">
        <f t="shared" si="2"/>
        <v>-0.35224426555364718</v>
      </c>
      <c r="F38">
        <f t="shared" si="3"/>
        <v>0.93860079407431973</v>
      </c>
      <c r="G38">
        <f t="shared" si="4"/>
        <v>-0.34500514396608134</v>
      </c>
      <c r="H38">
        <v>256</v>
      </c>
      <c r="I38">
        <v>80</v>
      </c>
      <c r="J38">
        <v>192</v>
      </c>
      <c r="K38">
        <f t="shared" si="5"/>
        <v>15.718196716974148</v>
      </c>
      <c r="L38">
        <f t="shared" si="6"/>
        <v>168.32131685531681</v>
      </c>
      <c r="M38">
        <f t="shared" si="7"/>
        <v>-33.962544014141564</v>
      </c>
      <c r="N38">
        <f t="shared" si="8"/>
        <v>33.16280250861476</v>
      </c>
      <c r="O38">
        <f t="shared" si="9"/>
        <v>240</v>
      </c>
      <c r="P38">
        <f t="shared" si="9"/>
        <v>-89</v>
      </c>
      <c r="Q38">
        <f t="shared" si="10"/>
        <v>-34</v>
      </c>
      <c r="R38">
        <f t="shared" si="11"/>
        <v>208</v>
      </c>
    </row>
    <row r="39" spans="2:18" x14ac:dyDescent="0.15">
      <c r="B39">
        <v>35</v>
      </c>
      <c r="C39">
        <f t="shared" si="0"/>
        <v>2.617993877991494</v>
      </c>
      <c r="D39">
        <f t="shared" si="1"/>
        <v>0.25000000000000033</v>
      </c>
      <c r="E39">
        <f t="shared" si="2"/>
        <v>-0.43301270189221874</v>
      </c>
      <c r="F39">
        <f t="shared" si="3"/>
        <v>0.90770571906660857</v>
      </c>
      <c r="G39">
        <f t="shared" si="4"/>
        <v>-0.4196073492847463</v>
      </c>
      <c r="H39">
        <v>256</v>
      </c>
      <c r="I39">
        <v>80</v>
      </c>
      <c r="J39">
        <v>192</v>
      </c>
      <c r="K39">
        <f t="shared" si="5"/>
        <v>23.627335918948205</v>
      </c>
      <c r="L39">
        <f t="shared" si="6"/>
        <v>187.41948141689505</v>
      </c>
      <c r="M39">
        <f t="shared" si="7"/>
        <v>-36.796122378055259</v>
      </c>
      <c r="N39">
        <f t="shared" si="8"/>
        <v>56.709857871303427</v>
      </c>
      <c r="O39">
        <f t="shared" si="9"/>
        <v>232</v>
      </c>
      <c r="P39">
        <f t="shared" si="9"/>
        <v>-108</v>
      </c>
      <c r="Q39">
        <f t="shared" si="10"/>
        <v>-37</v>
      </c>
      <c r="R39">
        <f t="shared" si="11"/>
        <v>220</v>
      </c>
    </row>
    <row r="40" spans="2:18" x14ac:dyDescent="0.15">
      <c r="B40">
        <v>36</v>
      </c>
      <c r="C40">
        <f t="shared" si="0"/>
        <v>2.6703537555513241</v>
      </c>
      <c r="D40">
        <f t="shared" si="1"/>
        <v>0.20610737385376349</v>
      </c>
      <c r="E40">
        <f t="shared" si="2"/>
        <v>-0.50903696045512703</v>
      </c>
      <c r="F40">
        <f t="shared" si="3"/>
        <v>0.87321423685543043</v>
      </c>
      <c r="G40">
        <f t="shared" si="4"/>
        <v>-0.4873365331605955</v>
      </c>
      <c r="H40">
        <v>256</v>
      </c>
      <c r="I40">
        <v>80</v>
      </c>
      <c r="J40">
        <v>192</v>
      </c>
      <c r="K40">
        <f t="shared" si="5"/>
        <v>32.457155365009811</v>
      </c>
      <c r="L40">
        <f t="shared" si="6"/>
        <v>204.75815248911243</v>
      </c>
      <c r="M40">
        <f t="shared" si="7"/>
        <v>-37.719305410115936</v>
      </c>
      <c r="N40">
        <f t="shared" si="8"/>
        <v>79.015302381930454</v>
      </c>
      <c r="O40">
        <f t="shared" si="9"/>
        <v>223</v>
      </c>
      <c r="P40">
        <f t="shared" si="9"/>
        <v>-125</v>
      </c>
      <c r="Q40">
        <f t="shared" si="10"/>
        <v>-38</v>
      </c>
      <c r="R40">
        <f t="shared" si="11"/>
        <v>231</v>
      </c>
    </row>
    <row r="41" spans="2:18" x14ac:dyDescent="0.15">
      <c r="B41">
        <v>37</v>
      </c>
      <c r="C41">
        <f t="shared" si="0"/>
        <v>2.7227136331111543</v>
      </c>
      <c r="D41">
        <f t="shared" si="1"/>
        <v>0.16543469682057077</v>
      </c>
      <c r="E41">
        <f t="shared" si="2"/>
        <v>-0.57948410355645663</v>
      </c>
      <c r="F41">
        <f t="shared" si="3"/>
        <v>0.83674526219070822</v>
      </c>
      <c r="G41">
        <f t="shared" si="4"/>
        <v>-0.54759233577671895</v>
      </c>
      <c r="H41">
        <v>256</v>
      </c>
      <c r="I41">
        <v>80</v>
      </c>
      <c r="J41">
        <v>192</v>
      </c>
      <c r="K41">
        <f t="shared" si="5"/>
        <v>41.793212879178697</v>
      </c>
      <c r="L41">
        <f t="shared" si="6"/>
        <v>220.18363795884005</v>
      </c>
      <c r="M41">
        <f t="shared" si="7"/>
        <v>-37.060083472668836</v>
      </c>
      <c r="N41">
        <f t="shared" si="8"/>
        <v>99.692320203378074</v>
      </c>
      <c r="O41">
        <f t="shared" si="9"/>
        <v>214</v>
      </c>
      <c r="P41">
        <f t="shared" si="9"/>
        <v>-141</v>
      </c>
      <c r="Q41">
        <f t="shared" si="10"/>
        <v>-38</v>
      </c>
      <c r="R41">
        <f t="shared" si="11"/>
        <v>241</v>
      </c>
    </row>
    <row r="42" spans="2:18" x14ac:dyDescent="0.15">
      <c r="B42">
        <v>38</v>
      </c>
      <c r="C42">
        <f t="shared" si="0"/>
        <v>2.7750735106709836</v>
      </c>
      <c r="D42">
        <f t="shared" si="1"/>
        <v>0.12842758726130316</v>
      </c>
      <c r="E42">
        <f t="shared" si="2"/>
        <v>-0.64358229755437601</v>
      </c>
      <c r="F42">
        <f t="shared" si="3"/>
        <v>0.79995128410675254</v>
      </c>
      <c r="G42">
        <f t="shared" si="4"/>
        <v>-0.60006494903131746</v>
      </c>
      <c r="H42">
        <v>256</v>
      </c>
      <c r="I42">
        <v>80</v>
      </c>
      <c r="J42">
        <v>192</v>
      </c>
      <c r="K42">
        <f t="shared" si="5"/>
        <v>51.212471268671351</v>
      </c>
      <c r="L42">
        <f t="shared" si="6"/>
        <v>233.61662695201727</v>
      </c>
      <c r="M42">
        <f t="shared" si="7"/>
        <v>-35.19688139183836</v>
      </c>
      <c r="N42">
        <f t="shared" si="8"/>
        <v>118.42364204064491</v>
      </c>
      <c r="O42">
        <f t="shared" si="9"/>
        <v>204</v>
      </c>
      <c r="P42">
        <f t="shared" si="9"/>
        <v>-154</v>
      </c>
      <c r="Q42">
        <f t="shared" si="10"/>
        <v>-36</v>
      </c>
      <c r="R42">
        <f t="shared" si="11"/>
        <v>251</v>
      </c>
    </row>
    <row r="43" spans="2:18" x14ac:dyDescent="0.15">
      <c r="B43">
        <v>39</v>
      </c>
      <c r="C43">
        <f t="shared" si="0"/>
        <v>2.8274333882308138</v>
      </c>
      <c r="D43">
        <f t="shared" si="1"/>
        <v>9.5491502812526344E-2</v>
      </c>
      <c r="E43">
        <f t="shared" si="2"/>
        <v>-0.70062926922203661</v>
      </c>
      <c r="F43">
        <f t="shared" si="3"/>
        <v>0.76443664951736678</v>
      </c>
      <c r="G43">
        <f t="shared" si="4"/>
        <v>-0.64469885130552429</v>
      </c>
      <c r="H43">
        <v>256</v>
      </c>
      <c r="I43">
        <v>80</v>
      </c>
      <c r="J43">
        <v>192</v>
      </c>
      <c r="K43">
        <f t="shared" si="5"/>
        <v>60.304217723554103</v>
      </c>
      <c r="L43">
        <f t="shared" si="6"/>
        <v>245.04290593421422</v>
      </c>
      <c r="M43">
        <f t="shared" si="7"/>
        <v>-32.532416864441387</v>
      </c>
      <c r="N43">
        <f t="shared" si="8"/>
        <v>134.9640284037134</v>
      </c>
      <c r="O43">
        <f t="shared" si="9"/>
        <v>195</v>
      </c>
      <c r="P43">
        <f t="shared" si="9"/>
        <v>-166</v>
      </c>
      <c r="Q43">
        <f t="shared" si="10"/>
        <v>-33</v>
      </c>
      <c r="R43">
        <f t="shared" si="11"/>
        <v>259</v>
      </c>
    </row>
    <row r="44" spans="2:18" x14ac:dyDescent="0.15">
      <c r="B44">
        <v>40</v>
      </c>
      <c r="C44">
        <f t="shared" si="0"/>
        <v>2.8797932657906435</v>
      </c>
      <c r="D44">
        <f t="shared" si="1"/>
        <v>6.6987298107780813E-2</v>
      </c>
      <c r="E44">
        <f t="shared" si="2"/>
        <v>-0.74999999999999967</v>
      </c>
      <c r="F44">
        <f t="shared" si="3"/>
        <v>0.73168886887382112</v>
      </c>
      <c r="G44">
        <f t="shared" si="4"/>
        <v>-0.6816387600233339</v>
      </c>
      <c r="H44">
        <v>256</v>
      </c>
      <c r="I44">
        <v>80</v>
      </c>
      <c r="J44">
        <v>192</v>
      </c>
      <c r="K44">
        <f t="shared" si="5"/>
        <v>68.687649568301794</v>
      </c>
      <c r="L44">
        <f t="shared" si="6"/>
        <v>254.49952256597348</v>
      </c>
      <c r="M44">
        <f t="shared" si="7"/>
        <v>-29.468331875058283</v>
      </c>
      <c r="N44">
        <f t="shared" si="8"/>
        <v>149.13632544814323</v>
      </c>
      <c r="O44">
        <f t="shared" si="9"/>
        <v>187</v>
      </c>
      <c r="P44">
        <f t="shared" si="9"/>
        <v>-175</v>
      </c>
      <c r="Q44">
        <f t="shared" si="10"/>
        <v>-30</v>
      </c>
      <c r="R44">
        <f t="shared" si="11"/>
        <v>266</v>
      </c>
    </row>
    <row r="45" spans="2:18" x14ac:dyDescent="0.15">
      <c r="B45">
        <v>41</v>
      </c>
      <c r="C45">
        <f t="shared" si="0"/>
        <v>2.9321531433504733</v>
      </c>
      <c r="D45">
        <f t="shared" si="1"/>
        <v>4.3227271178699719E-2</v>
      </c>
      <c r="E45">
        <f t="shared" si="2"/>
        <v>-0.79115357383037288</v>
      </c>
      <c r="F45">
        <f t="shared" si="3"/>
        <v>0.70302540257370383</v>
      </c>
      <c r="G45">
        <f t="shared" si="4"/>
        <v>-0.71116473712922634</v>
      </c>
      <c r="H45">
        <v>256</v>
      </c>
      <c r="I45">
        <v>80</v>
      </c>
      <c r="J45">
        <v>192</v>
      </c>
      <c r="K45">
        <f t="shared" si="5"/>
        <v>76.02549694113182</v>
      </c>
      <c r="L45">
        <f t="shared" si="6"/>
        <v>262.05817270508192</v>
      </c>
      <c r="M45">
        <f t="shared" si="7"/>
        <v>-26.382225205476772</v>
      </c>
      <c r="N45">
        <f t="shared" si="8"/>
        <v>160.82251473446857</v>
      </c>
      <c r="O45">
        <f t="shared" si="9"/>
        <v>179</v>
      </c>
      <c r="P45">
        <f t="shared" si="9"/>
        <v>-183</v>
      </c>
      <c r="Q45">
        <f t="shared" si="10"/>
        <v>-27</v>
      </c>
      <c r="R45">
        <f t="shared" si="11"/>
        <v>272</v>
      </c>
    </row>
    <row r="46" spans="2:18" x14ac:dyDescent="0.15">
      <c r="B46">
        <v>42</v>
      </c>
      <c r="C46">
        <f t="shared" si="0"/>
        <v>2.9845130209103035</v>
      </c>
      <c r="D46">
        <f t="shared" si="1"/>
        <v>2.4471741852423248E-2</v>
      </c>
      <c r="E46">
        <f t="shared" si="2"/>
        <v>-0.82363910354633185</v>
      </c>
      <c r="F46">
        <f t="shared" si="3"/>
        <v>0.67955598043024745</v>
      </c>
      <c r="G46">
        <f t="shared" si="4"/>
        <v>-0.73362365655796924</v>
      </c>
      <c r="H46">
        <v>256</v>
      </c>
      <c r="I46">
        <v>80</v>
      </c>
      <c r="J46">
        <v>192</v>
      </c>
      <c r="K46">
        <f t="shared" si="5"/>
        <v>82.033669009856652</v>
      </c>
      <c r="L46">
        <f t="shared" si="6"/>
        <v>267.80765607884013</v>
      </c>
      <c r="M46">
        <f t="shared" si="7"/>
        <v>-23.608137534490922</v>
      </c>
      <c r="N46">
        <f t="shared" si="8"/>
        <v>169.9515948968845</v>
      </c>
      <c r="O46">
        <f t="shared" si="9"/>
        <v>173</v>
      </c>
      <c r="P46">
        <f t="shared" si="9"/>
        <v>-188</v>
      </c>
      <c r="Q46">
        <f t="shared" si="10"/>
        <v>-24</v>
      </c>
      <c r="R46">
        <f t="shared" si="11"/>
        <v>276</v>
      </c>
    </row>
    <row r="47" spans="2:18" x14ac:dyDescent="0.15">
      <c r="B47">
        <v>43</v>
      </c>
      <c r="C47">
        <f t="shared" si="0"/>
        <v>3.0368728984701332</v>
      </c>
      <c r="D47">
        <f t="shared" si="1"/>
        <v>1.0926199633097235E-2</v>
      </c>
      <c r="E47">
        <f t="shared" si="2"/>
        <v>-0.84710067088627383</v>
      </c>
      <c r="F47">
        <f t="shared" si="3"/>
        <v>0.66215857804117773</v>
      </c>
      <c r="G47">
        <f t="shared" si="4"/>
        <v>-0.74936374180132681</v>
      </c>
      <c r="H47">
        <v>256</v>
      </c>
      <c r="I47">
        <v>80</v>
      </c>
      <c r="J47">
        <v>192</v>
      </c>
      <c r="K47">
        <f t="shared" si="5"/>
        <v>86.487404021458502</v>
      </c>
      <c r="L47">
        <f t="shared" si="6"/>
        <v>271.83711790113966</v>
      </c>
      <c r="M47">
        <f t="shared" si="7"/>
        <v>-21.420974797932558</v>
      </c>
      <c r="N47">
        <f t="shared" si="8"/>
        <v>176.48628266321009</v>
      </c>
      <c r="O47">
        <f t="shared" si="9"/>
        <v>169</v>
      </c>
      <c r="P47">
        <f t="shared" si="9"/>
        <v>-192</v>
      </c>
      <c r="Q47">
        <f t="shared" si="10"/>
        <v>-22</v>
      </c>
      <c r="R47">
        <f t="shared" si="11"/>
        <v>280</v>
      </c>
    </row>
    <row r="48" spans="2:18" x14ac:dyDescent="0.15">
      <c r="B48">
        <v>44</v>
      </c>
      <c r="C48">
        <f t="shared" si="0"/>
        <v>3.0892327760299629</v>
      </c>
      <c r="D48">
        <f t="shared" si="1"/>
        <v>2.7390523158633755E-3</v>
      </c>
      <c r="E48">
        <f t="shared" si="2"/>
        <v>-0.8612812260087741</v>
      </c>
      <c r="F48">
        <f t="shared" si="3"/>
        <v>0.65146596532650602</v>
      </c>
      <c r="G48">
        <f t="shared" si="4"/>
        <v>-0.75867786050550046</v>
      </c>
      <c r="H48">
        <v>256</v>
      </c>
      <c r="I48">
        <v>80</v>
      </c>
      <c r="J48">
        <v>192</v>
      </c>
      <c r="K48">
        <f t="shared" si="5"/>
        <v>89.224712876414458</v>
      </c>
      <c r="L48">
        <f t="shared" si="6"/>
        <v>274.22153228940812</v>
      </c>
      <c r="M48">
        <f t="shared" si="7"/>
        <v>-20.024899036377604</v>
      </c>
      <c r="N48">
        <f t="shared" si="8"/>
        <v>180.41043328239124</v>
      </c>
      <c r="O48">
        <f t="shared" si="9"/>
        <v>166</v>
      </c>
      <c r="P48">
        <f t="shared" si="9"/>
        <v>-195</v>
      </c>
      <c r="Q48">
        <f t="shared" si="10"/>
        <v>-21</v>
      </c>
      <c r="R48">
        <f t="shared" si="11"/>
        <v>282</v>
      </c>
    </row>
    <row r="49" spans="2:18" x14ac:dyDescent="0.15">
      <c r="B49">
        <v>45</v>
      </c>
      <c r="C49">
        <f t="shared" si="0"/>
        <v>3.1415926535897931</v>
      </c>
      <c r="D49">
        <f t="shared" si="1"/>
        <v>1.5009887365649789E-32</v>
      </c>
      <c r="E49">
        <f t="shared" si="2"/>
        <v>-0.8660254037844386</v>
      </c>
      <c r="F49">
        <f t="shared" si="3"/>
        <v>0.647859344852457</v>
      </c>
      <c r="G49">
        <f t="shared" si="4"/>
        <v>-0.7617599814162892</v>
      </c>
      <c r="H49">
        <v>256</v>
      </c>
      <c r="I49">
        <v>80</v>
      </c>
      <c r="J49">
        <v>192</v>
      </c>
      <c r="K49">
        <f t="shared" si="5"/>
        <v>90.148007717771009</v>
      </c>
      <c r="L49">
        <f t="shared" si="6"/>
        <v>275.01055524257004</v>
      </c>
      <c r="M49">
        <f t="shared" si="7"/>
        <v>-19.545429606174636</v>
      </c>
      <c r="N49">
        <f t="shared" si="8"/>
        <v>181.71880958381621</v>
      </c>
      <c r="O49">
        <f t="shared" si="9"/>
        <v>165</v>
      </c>
      <c r="P49">
        <f t="shared" si="9"/>
        <v>-196</v>
      </c>
      <c r="Q49">
        <f t="shared" si="10"/>
        <v>-20</v>
      </c>
      <c r="R49">
        <f t="shared" si="11"/>
        <v>282</v>
      </c>
    </row>
    <row r="50" spans="2:18" x14ac:dyDescent="0.15">
      <c r="B50">
        <v>46</v>
      </c>
      <c r="C50">
        <f t="shared" si="0"/>
        <v>3.1939525311496229</v>
      </c>
      <c r="D50">
        <f t="shared" si="1"/>
        <v>2.7390523158633026E-3</v>
      </c>
      <c r="E50">
        <f t="shared" si="2"/>
        <v>-0.86128122600877421</v>
      </c>
      <c r="F50">
        <f t="shared" si="3"/>
        <v>0.65146596532650591</v>
      </c>
      <c r="G50">
        <f t="shared" si="4"/>
        <v>-0.75867786050550057</v>
      </c>
      <c r="H50">
        <v>256</v>
      </c>
      <c r="I50">
        <v>80</v>
      </c>
      <c r="J50">
        <v>192</v>
      </c>
      <c r="K50">
        <f t="shared" si="5"/>
        <v>89.224712876414486</v>
      </c>
      <c r="L50">
        <f t="shared" si="6"/>
        <v>274.22153228940817</v>
      </c>
      <c r="M50">
        <f t="shared" si="7"/>
        <v>-20.02489903637759</v>
      </c>
      <c r="N50">
        <f t="shared" si="8"/>
        <v>180.41043328239132</v>
      </c>
      <c r="O50">
        <f t="shared" si="9"/>
        <v>166</v>
      </c>
      <c r="P50">
        <f t="shared" si="9"/>
        <v>-195</v>
      </c>
      <c r="Q50">
        <f t="shared" si="10"/>
        <v>-21</v>
      </c>
      <c r="R50">
        <f t="shared" si="11"/>
        <v>282</v>
      </c>
    </row>
    <row r="51" spans="2:18" x14ac:dyDescent="0.15">
      <c r="B51">
        <v>47</v>
      </c>
      <c r="C51">
        <f t="shared" si="0"/>
        <v>3.246312408709453</v>
      </c>
      <c r="D51">
        <f t="shared" si="1"/>
        <v>1.0926199633097187E-2</v>
      </c>
      <c r="E51">
        <f t="shared" si="2"/>
        <v>-0.84710067088627383</v>
      </c>
      <c r="F51">
        <f t="shared" si="3"/>
        <v>0.66215857804117773</v>
      </c>
      <c r="G51">
        <f t="shared" si="4"/>
        <v>-0.74936374180132681</v>
      </c>
      <c r="H51">
        <v>256</v>
      </c>
      <c r="I51">
        <v>80</v>
      </c>
      <c r="J51">
        <v>192</v>
      </c>
      <c r="K51">
        <f t="shared" si="5"/>
        <v>86.487404021458502</v>
      </c>
      <c r="L51">
        <f t="shared" si="6"/>
        <v>271.83711790113966</v>
      </c>
      <c r="M51">
        <f t="shared" si="7"/>
        <v>-21.420974797932558</v>
      </c>
      <c r="N51">
        <f t="shared" si="8"/>
        <v>176.48628266321009</v>
      </c>
      <c r="O51">
        <f t="shared" si="9"/>
        <v>169</v>
      </c>
      <c r="P51">
        <f t="shared" si="9"/>
        <v>-192</v>
      </c>
      <c r="Q51">
        <f t="shared" si="10"/>
        <v>-22</v>
      </c>
      <c r="R51">
        <f t="shared" si="11"/>
        <v>280</v>
      </c>
    </row>
    <row r="52" spans="2:18" x14ac:dyDescent="0.15">
      <c r="B52">
        <v>48</v>
      </c>
      <c r="C52">
        <f t="shared" si="0"/>
        <v>3.2986722862692828</v>
      </c>
      <c r="D52">
        <f t="shared" si="1"/>
        <v>2.4471741852423172E-2</v>
      </c>
      <c r="E52">
        <f t="shared" si="2"/>
        <v>-0.82363910354633196</v>
      </c>
      <c r="F52">
        <f t="shared" si="3"/>
        <v>0.67955598043024734</v>
      </c>
      <c r="G52">
        <f t="shared" si="4"/>
        <v>-0.73362365655796935</v>
      </c>
      <c r="H52">
        <v>256</v>
      </c>
      <c r="I52">
        <v>80</v>
      </c>
      <c r="J52">
        <v>192</v>
      </c>
      <c r="K52">
        <f t="shared" si="5"/>
        <v>82.033669009856681</v>
      </c>
      <c r="L52">
        <f t="shared" si="6"/>
        <v>267.80765607884018</v>
      </c>
      <c r="M52">
        <f t="shared" si="7"/>
        <v>-23.608137534490908</v>
      </c>
      <c r="N52">
        <f t="shared" si="8"/>
        <v>169.95159489688456</v>
      </c>
      <c r="O52">
        <f t="shared" si="9"/>
        <v>173</v>
      </c>
      <c r="P52">
        <f t="shared" si="9"/>
        <v>-188</v>
      </c>
      <c r="Q52">
        <f t="shared" si="10"/>
        <v>-24</v>
      </c>
      <c r="R52">
        <f t="shared" si="11"/>
        <v>276</v>
      </c>
    </row>
    <row r="53" spans="2:18" x14ac:dyDescent="0.15">
      <c r="B53">
        <v>49</v>
      </c>
      <c r="C53">
        <f t="shared" si="0"/>
        <v>3.3510321638291125</v>
      </c>
      <c r="D53">
        <f t="shared" si="1"/>
        <v>4.3227271178699442E-2</v>
      </c>
      <c r="E53">
        <f t="shared" si="2"/>
        <v>-0.79115357383037332</v>
      </c>
      <c r="F53">
        <f t="shared" si="3"/>
        <v>0.7030254025737035</v>
      </c>
      <c r="G53">
        <f t="shared" si="4"/>
        <v>-0.71116473712922668</v>
      </c>
      <c r="H53">
        <v>256</v>
      </c>
      <c r="I53">
        <v>80</v>
      </c>
      <c r="J53">
        <v>192</v>
      </c>
      <c r="K53">
        <f t="shared" si="5"/>
        <v>76.025496941131905</v>
      </c>
      <c r="L53">
        <f t="shared" si="6"/>
        <v>262.05817270508203</v>
      </c>
      <c r="M53">
        <f t="shared" si="7"/>
        <v>-26.382225205476743</v>
      </c>
      <c r="N53">
        <f t="shared" si="8"/>
        <v>160.82251473446871</v>
      </c>
      <c r="O53">
        <f t="shared" si="9"/>
        <v>179</v>
      </c>
      <c r="P53">
        <f t="shared" si="9"/>
        <v>-183</v>
      </c>
      <c r="Q53">
        <f t="shared" si="10"/>
        <v>-27</v>
      </c>
      <c r="R53">
        <f t="shared" si="11"/>
        <v>272</v>
      </c>
    </row>
    <row r="54" spans="2:18" x14ac:dyDescent="0.15">
      <c r="B54">
        <v>50</v>
      </c>
      <c r="C54">
        <f t="shared" si="0"/>
        <v>3.4033920413889427</v>
      </c>
      <c r="D54">
        <f t="shared" si="1"/>
        <v>6.6987298107780688E-2</v>
      </c>
      <c r="E54">
        <f t="shared" si="2"/>
        <v>-0.74999999999999989</v>
      </c>
      <c r="F54">
        <f t="shared" si="3"/>
        <v>0.73168886887382101</v>
      </c>
      <c r="G54">
        <f t="shared" si="4"/>
        <v>-0.68163876002333412</v>
      </c>
      <c r="H54">
        <v>256</v>
      </c>
      <c r="I54">
        <v>80</v>
      </c>
      <c r="J54">
        <v>192</v>
      </c>
      <c r="K54">
        <f t="shared" si="5"/>
        <v>68.687649568301822</v>
      </c>
      <c r="L54">
        <f t="shared" si="6"/>
        <v>254.49952256597354</v>
      </c>
      <c r="M54">
        <f t="shared" si="7"/>
        <v>-29.468331875058297</v>
      </c>
      <c r="N54">
        <f t="shared" si="8"/>
        <v>149.13632544814331</v>
      </c>
      <c r="O54">
        <f t="shared" si="9"/>
        <v>187</v>
      </c>
      <c r="P54">
        <f t="shared" si="9"/>
        <v>-175</v>
      </c>
      <c r="Q54">
        <f t="shared" si="10"/>
        <v>-30</v>
      </c>
      <c r="R54">
        <f t="shared" si="11"/>
        <v>266</v>
      </c>
    </row>
    <row r="55" spans="2:18" x14ac:dyDescent="0.15">
      <c r="B55">
        <v>51</v>
      </c>
      <c r="C55">
        <f t="shared" si="0"/>
        <v>3.4557519189487724</v>
      </c>
      <c r="D55">
        <f t="shared" si="1"/>
        <v>9.5491502812526205E-2</v>
      </c>
      <c r="E55">
        <f t="shared" si="2"/>
        <v>-0.70062926922203683</v>
      </c>
      <c r="F55">
        <f t="shared" si="3"/>
        <v>0.76443664951736656</v>
      </c>
      <c r="G55">
        <f t="shared" si="4"/>
        <v>-0.64469885130552451</v>
      </c>
      <c r="H55">
        <v>256</v>
      </c>
      <c r="I55">
        <v>80</v>
      </c>
      <c r="J55">
        <v>192</v>
      </c>
      <c r="K55">
        <f t="shared" si="5"/>
        <v>60.30421772355416</v>
      </c>
      <c r="L55">
        <f t="shared" si="6"/>
        <v>245.04290593421428</v>
      </c>
      <c r="M55">
        <f t="shared" si="7"/>
        <v>-32.532416864441373</v>
      </c>
      <c r="N55">
        <f t="shared" si="8"/>
        <v>134.96402840371348</v>
      </c>
      <c r="O55">
        <f t="shared" si="9"/>
        <v>195</v>
      </c>
      <c r="P55">
        <f t="shared" si="9"/>
        <v>-166</v>
      </c>
      <c r="Q55">
        <f t="shared" si="10"/>
        <v>-33</v>
      </c>
      <c r="R55">
        <f t="shared" si="11"/>
        <v>259</v>
      </c>
    </row>
    <row r="56" spans="2:18" x14ac:dyDescent="0.15">
      <c r="B56">
        <v>52</v>
      </c>
      <c r="C56">
        <f t="shared" si="0"/>
        <v>3.5081117965086026</v>
      </c>
      <c r="D56">
        <f t="shared" si="1"/>
        <v>0.12842758726130299</v>
      </c>
      <c r="E56">
        <f t="shared" si="2"/>
        <v>-0.64358229755437635</v>
      </c>
      <c r="F56">
        <f t="shared" si="3"/>
        <v>0.79995128410675242</v>
      </c>
      <c r="G56">
        <f t="shared" si="4"/>
        <v>-0.60006494903131768</v>
      </c>
      <c r="H56">
        <v>256</v>
      </c>
      <c r="I56">
        <v>80</v>
      </c>
      <c r="J56">
        <v>192</v>
      </c>
      <c r="K56">
        <f t="shared" si="5"/>
        <v>51.212471268671379</v>
      </c>
      <c r="L56">
        <f t="shared" si="6"/>
        <v>233.61662695201733</v>
      </c>
      <c r="M56">
        <f t="shared" si="7"/>
        <v>-35.19688139183836</v>
      </c>
      <c r="N56">
        <f t="shared" si="8"/>
        <v>118.42364204064498</v>
      </c>
      <c r="O56">
        <f t="shared" si="9"/>
        <v>204</v>
      </c>
      <c r="P56">
        <f t="shared" si="9"/>
        <v>-154</v>
      </c>
      <c r="Q56">
        <f t="shared" si="10"/>
        <v>-36</v>
      </c>
      <c r="R56">
        <f t="shared" si="11"/>
        <v>251</v>
      </c>
    </row>
    <row r="57" spans="2:18" x14ac:dyDescent="0.15">
      <c r="B57">
        <v>53</v>
      </c>
      <c r="C57">
        <f t="shared" si="0"/>
        <v>3.5604716740684323</v>
      </c>
      <c r="D57">
        <f t="shared" si="1"/>
        <v>0.16543469682057088</v>
      </c>
      <c r="E57">
        <f t="shared" si="2"/>
        <v>-0.57948410355645641</v>
      </c>
      <c r="F57">
        <f t="shared" si="3"/>
        <v>0.83674526219070833</v>
      </c>
      <c r="G57">
        <f t="shared" si="4"/>
        <v>-0.54759233577671884</v>
      </c>
      <c r="H57">
        <v>256</v>
      </c>
      <c r="I57">
        <v>80</v>
      </c>
      <c r="J57">
        <v>192</v>
      </c>
      <c r="K57">
        <f t="shared" si="5"/>
        <v>41.793212879178668</v>
      </c>
      <c r="L57">
        <f t="shared" si="6"/>
        <v>220.18363795884002</v>
      </c>
      <c r="M57">
        <f t="shared" si="7"/>
        <v>-37.06008347266885</v>
      </c>
      <c r="N57">
        <f t="shared" si="8"/>
        <v>99.692320203378017</v>
      </c>
      <c r="O57">
        <f t="shared" si="9"/>
        <v>214</v>
      </c>
      <c r="P57">
        <f t="shared" si="9"/>
        <v>-141</v>
      </c>
      <c r="Q57">
        <f t="shared" si="10"/>
        <v>-38</v>
      </c>
      <c r="R57">
        <f t="shared" si="11"/>
        <v>241</v>
      </c>
    </row>
    <row r="58" spans="2:18" x14ac:dyDescent="0.15">
      <c r="B58">
        <v>54</v>
      </c>
      <c r="C58">
        <f t="shared" si="0"/>
        <v>3.6128315516282621</v>
      </c>
      <c r="D58">
        <f t="shared" si="1"/>
        <v>0.20610737385376335</v>
      </c>
      <c r="E58">
        <f t="shared" si="2"/>
        <v>-0.50903696045512736</v>
      </c>
      <c r="F58">
        <f t="shared" si="3"/>
        <v>0.87321423685543031</v>
      </c>
      <c r="G58">
        <f t="shared" si="4"/>
        <v>-0.48733653316059578</v>
      </c>
      <c r="H58">
        <v>256</v>
      </c>
      <c r="I58">
        <v>80</v>
      </c>
      <c r="J58">
        <v>192</v>
      </c>
      <c r="K58">
        <f t="shared" si="5"/>
        <v>32.457155365009839</v>
      </c>
      <c r="L58">
        <f t="shared" si="6"/>
        <v>204.75815248911252</v>
      </c>
      <c r="M58">
        <f t="shared" si="7"/>
        <v>-37.71930541011595</v>
      </c>
      <c r="N58">
        <f t="shared" si="8"/>
        <v>79.015302381930553</v>
      </c>
      <c r="O58">
        <f t="shared" si="9"/>
        <v>223</v>
      </c>
      <c r="P58">
        <f t="shared" si="9"/>
        <v>-125</v>
      </c>
      <c r="Q58">
        <f t="shared" si="10"/>
        <v>-38</v>
      </c>
      <c r="R58">
        <f t="shared" si="11"/>
        <v>231</v>
      </c>
    </row>
    <row r="59" spans="2:18" x14ac:dyDescent="0.15">
      <c r="B59">
        <v>55</v>
      </c>
      <c r="C59">
        <f t="shared" si="0"/>
        <v>3.6651914291880923</v>
      </c>
      <c r="D59">
        <f t="shared" si="1"/>
        <v>0.25000000000000011</v>
      </c>
      <c r="E59">
        <f t="shared" si="2"/>
        <v>-0.43301270189221913</v>
      </c>
      <c r="F59">
        <f t="shared" si="3"/>
        <v>0.90770571906660835</v>
      </c>
      <c r="G59">
        <f t="shared" si="4"/>
        <v>-0.41960734928474669</v>
      </c>
      <c r="H59">
        <v>256</v>
      </c>
      <c r="I59">
        <v>80</v>
      </c>
      <c r="J59">
        <v>192</v>
      </c>
      <c r="K59">
        <f t="shared" si="5"/>
        <v>23.627335918948262</v>
      </c>
      <c r="L59">
        <f t="shared" si="6"/>
        <v>187.41948141689517</v>
      </c>
      <c r="M59">
        <f t="shared" si="7"/>
        <v>-36.796122378055259</v>
      </c>
      <c r="N59">
        <f t="shared" si="8"/>
        <v>56.709857871303569</v>
      </c>
      <c r="O59">
        <f t="shared" si="9"/>
        <v>232</v>
      </c>
      <c r="P59">
        <f t="shared" si="9"/>
        <v>-108</v>
      </c>
      <c r="Q59">
        <f t="shared" si="10"/>
        <v>-37</v>
      </c>
      <c r="R59">
        <f t="shared" si="11"/>
        <v>220</v>
      </c>
    </row>
    <row r="60" spans="2:18" x14ac:dyDescent="0.15">
      <c r="B60">
        <v>56</v>
      </c>
      <c r="C60">
        <f t="shared" si="0"/>
        <v>3.717551306747922</v>
      </c>
      <c r="D60">
        <f t="shared" si="1"/>
        <v>0.29663167846209992</v>
      </c>
      <c r="E60">
        <f t="shared" si="2"/>
        <v>-0.35224426555364691</v>
      </c>
      <c r="F60">
        <f t="shared" si="3"/>
        <v>0.93860079407431984</v>
      </c>
      <c r="G60">
        <f t="shared" si="4"/>
        <v>-0.34500514396608106</v>
      </c>
      <c r="H60">
        <v>256</v>
      </c>
      <c r="I60">
        <v>80</v>
      </c>
      <c r="J60">
        <v>192</v>
      </c>
      <c r="K60">
        <f t="shared" si="5"/>
        <v>15.71819671697412</v>
      </c>
      <c r="L60">
        <f t="shared" si="6"/>
        <v>168.32131685531675</v>
      </c>
      <c r="M60">
        <f t="shared" si="7"/>
        <v>-33.962544014141557</v>
      </c>
      <c r="N60">
        <f t="shared" si="8"/>
        <v>33.162802508614703</v>
      </c>
      <c r="O60">
        <f t="shared" si="9"/>
        <v>240</v>
      </c>
      <c r="P60">
        <f t="shared" si="9"/>
        <v>-89</v>
      </c>
      <c r="Q60">
        <f t="shared" si="10"/>
        <v>-34</v>
      </c>
      <c r="R60">
        <f t="shared" si="11"/>
        <v>208</v>
      </c>
    </row>
    <row r="61" spans="2:18" x14ac:dyDescent="0.15">
      <c r="B61">
        <v>57</v>
      </c>
      <c r="C61">
        <f t="shared" si="0"/>
        <v>3.7699111843077517</v>
      </c>
      <c r="D61">
        <f t="shared" si="1"/>
        <v>0.34549150281252616</v>
      </c>
      <c r="E61">
        <f t="shared" si="2"/>
        <v>-0.26761656732981765</v>
      </c>
      <c r="F61">
        <f t="shared" si="3"/>
        <v>0.96440389471426236</v>
      </c>
      <c r="G61">
        <f t="shared" si="4"/>
        <v>-0.26443359820560236</v>
      </c>
      <c r="H61">
        <v>256</v>
      </c>
      <c r="I61">
        <v>80</v>
      </c>
      <c r="J61">
        <v>192</v>
      </c>
      <c r="K61">
        <f t="shared" si="5"/>
        <v>9.1126029531488371</v>
      </c>
      <c r="L61">
        <f t="shared" si="6"/>
        <v>147.69500114063419</v>
      </c>
      <c r="M61">
        <f t="shared" si="7"/>
        <v>-28.965835188457902</v>
      </c>
      <c r="N61">
        <f t="shared" si="8"/>
        <v>8.8208403017804073</v>
      </c>
      <c r="O61">
        <f t="shared" si="9"/>
        <v>246</v>
      </c>
      <c r="P61">
        <f t="shared" si="9"/>
        <v>-68</v>
      </c>
      <c r="Q61">
        <f t="shared" si="10"/>
        <v>-29</v>
      </c>
      <c r="R61">
        <f t="shared" si="11"/>
        <v>196</v>
      </c>
    </row>
    <row r="62" spans="2:18" x14ac:dyDescent="0.15">
      <c r="B62">
        <v>58</v>
      </c>
      <c r="C62">
        <f t="shared" si="0"/>
        <v>3.8222710618675819</v>
      </c>
      <c r="D62">
        <f t="shared" si="1"/>
        <v>0.39604415459112052</v>
      </c>
      <c r="E62">
        <f t="shared" si="2"/>
        <v>-0.18005680599195506</v>
      </c>
      <c r="F62">
        <f t="shared" si="3"/>
        <v>0.98383352124822632</v>
      </c>
      <c r="G62">
        <f t="shared" si="4"/>
        <v>-0.17908546135383455</v>
      </c>
      <c r="H62">
        <v>256</v>
      </c>
      <c r="I62">
        <v>80</v>
      </c>
      <c r="J62">
        <v>192</v>
      </c>
      <c r="K62">
        <f t="shared" si="5"/>
        <v>4.1386185604540628</v>
      </c>
      <c r="L62">
        <f t="shared" si="6"/>
        <v>125.84587810658164</v>
      </c>
      <c r="M62">
        <f t="shared" si="7"/>
        <v>-21.649687874498113</v>
      </c>
      <c r="N62">
        <f t="shared" si="8"/>
        <v>-15.826148953162942</v>
      </c>
      <c r="O62">
        <f t="shared" si="9"/>
        <v>251</v>
      </c>
      <c r="P62">
        <f t="shared" si="9"/>
        <v>-46</v>
      </c>
      <c r="Q62">
        <f t="shared" si="10"/>
        <v>-22</v>
      </c>
      <c r="R62">
        <f t="shared" si="11"/>
        <v>184</v>
      </c>
    </row>
    <row r="63" spans="2:18" x14ac:dyDescent="0.15">
      <c r="B63">
        <v>59</v>
      </c>
      <c r="C63">
        <f t="shared" si="0"/>
        <v>3.8746309394274117</v>
      </c>
      <c r="D63">
        <f t="shared" si="1"/>
        <v>0.44773576836617329</v>
      </c>
      <c r="E63">
        <f t="shared" si="2"/>
        <v>-9.0524304608336409E-2</v>
      </c>
      <c r="F63">
        <f t="shared" si="3"/>
        <v>0.99590547238524751</v>
      </c>
      <c r="G63">
        <f t="shared" si="4"/>
        <v>-9.0400719428094134E-2</v>
      </c>
      <c r="H63">
        <v>256</v>
      </c>
      <c r="I63">
        <v>80</v>
      </c>
      <c r="J63">
        <v>192</v>
      </c>
      <c r="K63">
        <f t="shared" si="5"/>
        <v>1.0481990693766363</v>
      </c>
      <c r="L63">
        <f t="shared" si="6"/>
        <v>103.1425841735921</v>
      </c>
      <c r="M63">
        <f t="shared" si="7"/>
        <v>-11.969504528268919</v>
      </c>
      <c r="N63">
        <f t="shared" si="8"/>
        <v>-40.267803849883535</v>
      </c>
      <c r="O63">
        <f t="shared" si="9"/>
        <v>254</v>
      </c>
      <c r="P63">
        <f t="shared" si="9"/>
        <v>-24</v>
      </c>
      <c r="Q63">
        <f t="shared" si="10"/>
        <v>-12</v>
      </c>
      <c r="R63">
        <f t="shared" si="11"/>
        <v>171</v>
      </c>
    </row>
    <row r="64" spans="2:18" x14ac:dyDescent="0.15">
      <c r="B64">
        <v>60</v>
      </c>
      <c r="C64">
        <f t="shared" si="0"/>
        <v>3.926990816987241</v>
      </c>
      <c r="D64">
        <f t="shared" si="1"/>
        <v>0.49999999999999944</v>
      </c>
      <c r="E64">
        <f t="shared" si="2"/>
        <v>-9.6148134319178186E-16</v>
      </c>
      <c r="F64">
        <f t="shared" si="3"/>
        <v>1</v>
      </c>
      <c r="G64">
        <f t="shared" si="4"/>
        <v>-9.6148134319178186E-16</v>
      </c>
      <c r="H64">
        <v>256</v>
      </c>
      <c r="I64">
        <v>80</v>
      </c>
      <c r="J64">
        <v>192</v>
      </c>
      <c r="K64">
        <f t="shared" si="5"/>
        <v>0</v>
      </c>
      <c r="L64">
        <f t="shared" si="6"/>
        <v>80.000000000000242</v>
      </c>
      <c r="M64">
        <f t="shared" si="7"/>
        <v>-1.3845331341961658E-13</v>
      </c>
      <c r="N64">
        <f t="shared" si="8"/>
        <v>-63.999999999999758</v>
      </c>
      <c r="O64">
        <f t="shared" si="9"/>
        <v>256</v>
      </c>
      <c r="P64">
        <f t="shared" si="9"/>
        <v>-1</v>
      </c>
      <c r="Q64">
        <f t="shared" si="10"/>
        <v>-1</v>
      </c>
      <c r="R64">
        <f t="shared" si="11"/>
        <v>160</v>
      </c>
    </row>
  </sheetData>
  <mergeCells count="1">
    <mergeCell ref="H2:I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4"/>
  <sheetViews>
    <sheetView topLeftCell="A37" zoomScale="115" zoomScaleNormal="115" workbookViewId="0">
      <selection activeCell="P4" sqref="P4:S64"/>
    </sheetView>
  </sheetViews>
  <sheetFormatPr defaultRowHeight="13.5" x14ac:dyDescent="0.15"/>
  <cols>
    <col min="1" max="1" width="3.25" customWidth="1"/>
    <col min="4" max="4" width="13.875" bestFit="1" customWidth="1"/>
    <col min="5" max="5" width="26.5" bestFit="1" customWidth="1"/>
    <col min="14" max="14" width="13.875" bestFit="1" customWidth="1"/>
  </cols>
  <sheetData>
    <row r="1" spans="2:19" x14ac:dyDescent="0.15">
      <c r="B1" t="s">
        <v>28</v>
      </c>
    </row>
    <row r="2" spans="2:19" x14ac:dyDescent="0.15">
      <c r="H2" s="5" t="s">
        <v>14</v>
      </c>
      <c r="I2" s="5"/>
      <c r="J2" s="1"/>
    </row>
    <row r="3" spans="2:19" x14ac:dyDescent="0.15">
      <c r="B3" t="s">
        <v>0</v>
      </c>
      <c r="C3" t="s">
        <v>24</v>
      </c>
      <c r="D3" t="s">
        <v>25</v>
      </c>
      <c r="E3" t="s">
        <v>26</v>
      </c>
      <c r="F3" t="s">
        <v>7</v>
      </c>
      <c r="G3" t="s">
        <v>2</v>
      </c>
      <c r="J3" t="s">
        <v>29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3</v>
      </c>
      <c r="Q3" t="s">
        <v>4</v>
      </c>
      <c r="R3" t="s">
        <v>5</v>
      </c>
      <c r="S3" t="s">
        <v>6</v>
      </c>
    </row>
    <row r="4" spans="2:19" x14ac:dyDescent="0.15">
      <c r="B4">
        <v>0</v>
      </c>
      <c r="C4">
        <f>2*PI()*B4/120+PI()/4</f>
        <v>0.78539816339744828</v>
      </c>
      <c r="D4">
        <f>POWER(SIN(C4),2)</f>
        <v>0.49999999999999989</v>
      </c>
      <c r="E4">
        <f>(D4-0.5)*SQRT(3)</f>
        <v>-1.9229626863835638E-16</v>
      </c>
      <c r="F4">
        <f>COS(E4)</f>
        <v>1</v>
      </c>
      <c r="G4">
        <f>SIN(E4)</f>
        <v>-1.9229626863835638E-16</v>
      </c>
      <c r="H4">
        <v>256</v>
      </c>
      <c r="I4">
        <v>80</v>
      </c>
      <c r="J4">
        <f>(B4/60)*0.7+0.3</f>
        <v>0.3</v>
      </c>
      <c r="K4">
        <v>192</v>
      </c>
      <c r="L4">
        <f>H4-F4*256/J4</f>
        <v>-597.33333333333337</v>
      </c>
      <c r="M4">
        <f>I4-G4*256/J4</f>
        <v>80.000000000000171</v>
      </c>
      <c r="N4">
        <f>L4+G4*144/J4</f>
        <v>-597.33333333333348</v>
      </c>
      <c r="O4">
        <f>M4-F4*144/J4</f>
        <v>-399.99999999999983</v>
      </c>
      <c r="P4">
        <f>INT(F4*256/J4)</f>
        <v>853</v>
      </c>
      <c r="Q4">
        <f>INT(G4*256/J4)</f>
        <v>-1</v>
      </c>
      <c r="R4">
        <f>INT(N4)</f>
        <v>-598</v>
      </c>
      <c r="S4">
        <f>INT(O4/2)+K4</f>
        <v>-8</v>
      </c>
    </row>
    <row r="5" spans="2:19" x14ac:dyDescent="0.15">
      <c r="B5">
        <v>1</v>
      </c>
      <c r="C5">
        <f t="shared" ref="C5:C64" si="0">2*PI()*B5/120+PI()/4</f>
        <v>0.83775804095727813</v>
      </c>
      <c r="D5">
        <f t="shared" ref="D5:D64" si="1">POWER(SIN(C5),2)</f>
        <v>0.55226423163382654</v>
      </c>
      <c r="E5">
        <f t="shared" ref="E5:E64" si="2">(D5-0.5)*SQRT(3)</f>
        <v>9.0524304608336117E-2</v>
      </c>
      <c r="F5">
        <f t="shared" ref="F5:F64" si="3">COS(E5)</f>
        <v>0.99590547238524751</v>
      </c>
      <c r="G5">
        <f t="shared" ref="G5:G64" si="4">SIN(E5)</f>
        <v>9.0400719428093843E-2</v>
      </c>
      <c r="H5">
        <v>256</v>
      </c>
      <c r="I5">
        <v>80</v>
      </c>
      <c r="J5">
        <f t="shared" ref="J5:J64" si="5">(B5/60)*0.7+0.3</f>
        <v>0.31166666666666665</v>
      </c>
      <c r="K5">
        <v>192</v>
      </c>
      <c r="L5">
        <f t="shared" ref="L5:L64" si="6">H5-F5*256/J5</f>
        <v>-562.02716876135844</v>
      </c>
      <c r="M5">
        <f t="shared" ref="M5:M64" si="7">I5-G5*256/J5</f>
        <v>5.7457192291165029</v>
      </c>
      <c r="N5">
        <f t="shared" ref="N5:N64" si="8">L5+G5*144/J5</f>
        <v>-520.25913582773649</v>
      </c>
      <c r="O5">
        <f t="shared" ref="O5:O64" si="9">M5-F5*144/J5</f>
        <v>-454.39456319914757</v>
      </c>
      <c r="P5">
        <f t="shared" ref="P5:P64" si="10">INT(F5*256/J5)</f>
        <v>818</v>
      </c>
      <c r="Q5">
        <f t="shared" ref="Q5:Q64" si="11">INT(G5*256/J5)</f>
        <v>74</v>
      </c>
      <c r="R5">
        <f t="shared" ref="R5:R64" si="12">INT(N5)</f>
        <v>-521</v>
      </c>
      <c r="S5">
        <f t="shared" ref="S5:S64" si="13">INT(O5/2)+K5</f>
        <v>-36</v>
      </c>
    </row>
    <row r="6" spans="2:19" x14ac:dyDescent="0.15">
      <c r="B6">
        <v>2</v>
      </c>
      <c r="C6">
        <f t="shared" si="0"/>
        <v>0.89011791851710809</v>
      </c>
      <c r="D6">
        <f t="shared" si="1"/>
        <v>0.6039558454088797</v>
      </c>
      <c r="E6">
        <f t="shared" si="2"/>
        <v>0.18005680599195545</v>
      </c>
      <c r="F6">
        <f t="shared" si="3"/>
        <v>0.98383352124822632</v>
      </c>
      <c r="G6">
        <f t="shared" si="4"/>
        <v>0.17908546135383493</v>
      </c>
      <c r="H6">
        <v>256</v>
      </c>
      <c r="I6">
        <v>80</v>
      </c>
      <c r="J6">
        <f t="shared" si="5"/>
        <v>0.32333333333333331</v>
      </c>
      <c r="K6">
        <v>192</v>
      </c>
      <c r="L6">
        <f t="shared" si="6"/>
        <v>-522.95272610168854</v>
      </c>
      <c r="M6">
        <f t="shared" si="7"/>
        <v>-61.791375587366218</v>
      </c>
      <c r="N6">
        <f t="shared" si="8"/>
        <v>-443.19507733379504</v>
      </c>
      <c r="O6">
        <f t="shared" si="9"/>
        <v>-499.95228401956604</v>
      </c>
      <c r="P6">
        <f t="shared" si="10"/>
        <v>778</v>
      </c>
      <c r="Q6">
        <f t="shared" si="11"/>
        <v>141</v>
      </c>
      <c r="R6">
        <f t="shared" si="12"/>
        <v>-444</v>
      </c>
      <c r="S6">
        <f t="shared" si="13"/>
        <v>-58</v>
      </c>
    </row>
    <row r="7" spans="2:19" x14ac:dyDescent="0.15">
      <c r="B7">
        <v>3</v>
      </c>
      <c r="C7">
        <f t="shared" si="0"/>
        <v>0.94247779607693793</v>
      </c>
      <c r="D7">
        <f t="shared" si="1"/>
        <v>0.65450849718747373</v>
      </c>
      <c r="E7">
        <f t="shared" si="2"/>
        <v>0.26761656732981748</v>
      </c>
      <c r="F7">
        <f t="shared" si="3"/>
        <v>0.96440389471426236</v>
      </c>
      <c r="G7">
        <f t="shared" si="4"/>
        <v>0.26443359820560219</v>
      </c>
      <c r="H7">
        <v>256</v>
      </c>
      <c r="I7">
        <v>80</v>
      </c>
      <c r="J7">
        <f t="shared" si="5"/>
        <v>0.33499999999999996</v>
      </c>
      <c r="K7">
        <v>192</v>
      </c>
      <c r="L7">
        <f t="shared" si="6"/>
        <v>-480.97730461746619</v>
      </c>
      <c r="M7">
        <f t="shared" si="7"/>
        <v>-122.07463027054976</v>
      </c>
      <c r="N7">
        <f t="shared" si="8"/>
        <v>-367.31032509028194</v>
      </c>
      <c r="O7">
        <f t="shared" si="9"/>
        <v>-536.62436411787451</v>
      </c>
      <c r="P7">
        <f t="shared" si="10"/>
        <v>736</v>
      </c>
      <c r="Q7">
        <f t="shared" si="11"/>
        <v>202</v>
      </c>
      <c r="R7">
        <f t="shared" si="12"/>
        <v>-368</v>
      </c>
      <c r="S7">
        <f t="shared" si="13"/>
        <v>-77</v>
      </c>
    </row>
    <row r="8" spans="2:19" x14ac:dyDescent="0.15">
      <c r="B8">
        <v>4</v>
      </c>
      <c r="C8">
        <f t="shared" si="0"/>
        <v>0.99483767363676778</v>
      </c>
      <c r="D8">
        <f t="shared" si="1"/>
        <v>0.70336832153789997</v>
      </c>
      <c r="E8">
        <f t="shared" si="2"/>
        <v>0.35224426555364674</v>
      </c>
      <c r="F8">
        <f t="shared" si="3"/>
        <v>0.93860079407431984</v>
      </c>
      <c r="G8">
        <f t="shared" si="4"/>
        <v>0.3450051439660809</v>
      </c>
      <c r="H8">
        <v>256</v>
      </c>
      <c r="I8">
        <v>80</v>
      </c>
      <c r="J8">
        <f t="shared" si="5"/>
        <v>0.34666666666666668</v>
      </c>
      <c r="K8">
        <v>192</v>
      </c>
      <c r="L8">
        <f t="shared" si="6"/>
        <v>-437.12058639334384</v>
      </c>
      <c r="M8">
        <f t="shared" si="7"/>
        <v>-174.77302939033666</v>
      </c>
      <c r="N8">
        <f t="shared" si="8"/>
        <v>-293.81075736127946</v>
      </c>
      <c r="O8">
        <f t="shared" si="9"/>
        <v>-564.65335923659256</v>
      </c>
      <c r="P8">
        <f t="shared" si="10"/>
        <v>693</v>
      </c>
      <c r="Q8">
        <f t="shared" si="11"/>
        <v>254</v>
      </c>
      <c r="R8">
        <f t="shared" si="12"/>
        <v>-294</v>
      </c>
      <c r="S8">
        <f t="shared" si="13"/>
        <v>-91</v>
      </c>
    </row>
    <row r="9" spans="2:19" x14ac:dyDescent="0.15">
      <c r="B9">
        <v>5</v>
      </c>
      <c r="C9">
        <f t="shared" si="0"/>
        <v>1.0471975511965976</v>
      </c>
      <c r="D9">
        <f t="shared" si="1"/>
        <v>0.74999999999999989</v>
      </c>
      <c r="E9">
        <f t="shared" si="2"/>
        <v>0.43301270189221913</v>
      </c>
      <c r="F9">
        <f t="shared" si="3"/>
        <v>0.90770571906660835</v>
      </c>
      <c r="G9">
        <f t="shared" si="4"/>
        <v>0.41960734928474669</v>
      </c>
      <c r="H9">
        <v>256</v>
      </c>
      <c r="I9">
        <v>80</v>
      </c>
      <c r="J9">
        <f t="shared" si="5"/>
        <v>0.35833333333333334</v>
      </c>
      <c r="K9">
        <v>192</v>
      </c>
      <c r="L9">
        <f t="shared" si="6"/>
        <v>-392.48185324944666</v>
      </c>
      <c r="M9">
        <f t="shared" si="7"/>
        <v>-219.7752969773818</v>
      </c>
      <c r="N9">
        <f t="shared" si="8"/>
        <v>-223.85824869966939</v>
      </c>
      <c r="O9">
        <f t="shared" si="9"/>
        <v>-584.54633943019553</v>
      </c>
      <c r="P9">
        <f t="shared" si="10"/>
        <v>648</v>
      </c>
      <c r="Q9">
        <f t="shared" si="11"/>
        <v>299</v>
      </c>
      <c r="R9">
        <f t="shared" si="12"/>
        <v>-224</v>
      </c>
      <c r="S9">
        <f t="shared" si="13"/>
        <v>-101</v>
      </c>
    </row>
    <row r="10" spans="2:19" x14ac:dyDescent="0.15">
      <c r="B10">
        <v>6</v>
      </c>
      <c r="C10">
        <f t="shared" si="0"/>
        <v>1.0995574287564276</v>
      </c>
      <c r="D10">
        <f t="shared" si="1"/>
        <v>0.79389262614623646</v>
      </c>
      <c r="E10">
        <f t="shared" si="2"/>
        <v>0.50903696045512692</v>
      </c>
      <c r="F10">
        <f t="shared" si="3"/>
        <v>0.87321423685543054</v>
      </c>
      <c r="G10">
        <f t="shared" si="4"/>
        <v>0.48733653316059539</v>
      </c>
      <c r="H10">
        <v>256</v>
      </c>
      <c r="I10">
        <v>80</v>
      </c>
      <c r="J10">
        <f t="shared" si="5"/>
        <v>0.37</v>
      </c>
      <c r="K10">
        <v>192</v>
      </c>
      <c r="L10">
        <f t="shared" si="6"/>
        <v>-348.16985036483845</v>
      </c>
      <c r="M10">
        <f t="shared" si="7"/>
        <v>-257.18419591652008</v>
      </c>
      <c r="N10">
        <f t="shared" si="8"/>
        <v>-158.50374016179592</v>
      </c>
      <c r="O10">
        <f t="shared" si="9"/>
        <v>-597.02973674674172</v>
      </c>
      <c r="P10">
        <f t="shared" si="10"/>
        <v>604</v>
      </c>
      <c r="Q10">
        <f t="shared" si="11"/>
        <v>337</v>
      </c>
      <c r="R10">
        <f t="shared" si="12"/>
        <v>-159</v>
      </c>
      <c r="S10">
        <f t="shared" si="13"/>
        <v>-107</v>
      </c>
    </row>
    <row r="11" spans="2:19" x14ac:dyDescent="0.15">
      <c r="B11">
        <v>7</v>
      </c>
      <c r="C11">
        <f t="shared" si="0"/>
        <v>1.1519173063162575</v>
      </c>
      <c r="D11">
        <f t="shared" si="1"/>
        <v>0.83456530317942901</v>
      </c>
      <c r="E11">
        <f t="shared" si="2"/>
        <v>0.5794841035564563</v>
      </c>
      <c r="F11">
        <f t="shared" si="3"/>
        <v>0.83674526219070844</v>
      </c>
      <c r="G11">
        <f t="shared" si="4"/>
        <v>0.54759233577671873</v>
      </c>
      <c r="H11">
        <v>256</v>
      </c>
      <c r="I11">
        <v>80</v>
      </c>
      <c r="J11">
        <f t="shared" si="5"/>
        <v>0.38166666666666665</v>
      </c>
      <c r="K11">
        <v>192</v>
      </c>
      <c r="L11">
        <f t="shared" si="6"/>
        <v>-305.24049027289436</v>
      </c>
      <c r="M11">
        <f t="shared" si="7"/>
        <v>-287.29337456464629</v>
      </c>
      <c r="N11">
        <f t="shared" si="8"/>
        <v>-98.637967080280845</v>
      </c>
      <c r="O11">
        <f t="shared" si="9"/>
        <v>-602.99115034314946</v>
      </c>
      <c r="P11">
        <f t="shared" si="10"/>
        <v>561</v>
      </c>
      <c r="Q11">
        <f t="shared" si="11"/>
        <v>367</v>
      </c>
      <c r="R11">
        <f t="shared" si="12"/>
        <v>-99</v>
      </c>
      <c r="S11">
        <f t="shared" si="13"/>
        <v>-110</v>
      </c>
    </row>
    <row r="12" spans="2:19" x14ac:dyDescent="0.15">
      <c r="B12">
        <v>8</v>
      </c>
      <c r="C12">
        <f t="shared" si="0"/>
        <v>1.2042771838760873</v>
      </c>
      <c r="D12">
        <f t="shared" si="1"/>
        <v>0.87157241273869712</v>
      </c>
      <c r="E12">
        <f t="shared" si="2"/>
        <v>0.64358229755437646</v>
      </c>
      <c r="F12">
        <f t="shared" si="3"/>
        <v>0.79995128410675231</v>
      </c>
      <c r="G12">
        <f t="shared" si="4"/>
        <v>0.6000649490313178</v>
      </c>
      <c r="H12">
        <v>256</v>
      </c>
      <c r="I12">
        <v>80</v>
      </c>
      <c r="J12">
        <f t="shared" si="5"/>
        <v>0.39333333333333331</v>
      </c>
      <c r="K12">
        <v>192</v>
      </c>
      <c r="L12">
        <f t="shared" si="6"/>
        <v>-264.64625948642868</v>
      </c>
      <c r="M12">
        <f t="shared" si="7"/>
        <v>-310.55074648817975</v>
      </c>
      <c r="N12">
        <f t="shared" si="8"/>
        <v>-44.96146458682756</v>
      </c>
      <c r="O12">
        <f t="shared" si="9"/>
        <v>-603.41426744929595</v>
      </c>
      <c r="P12">
        <f t="shared" si="10"/>
        <v>520</v>
      </c>
      <c r="Q12">
        <f t="shared" si="11"/>
        <v>390</v>
      </c>
      <c r="R12">
        <f t="shared" si="12"/>
        <v>-45</v>
      </c>
      <c r="S12">
        <f t="shared" si="13"/>
        <v>-110</v>
      </c>
    </row>
    <row r="13" spans="2:19" x14ac:dyDescent="0.15">
      <c r="B13">
        <v>9</v>
      </c>
      <c r="C13">
        <f t="shared" si="0"/>
        <v>1.2566370614359172</v>
      </c>
      <c r="D13">
        <f t="shared" si="1"/>
        <v>0.90450849718747361</v>
      </c>
      <c r="E13">
        <f t="shared" si="2"/>
        <v>0.70062926922203661</v>
      </c>
      <c r="F13">
        <f t="shared" si="3"/>
        <v>0.76443664951736678</v>
      </c>
      <c r="G13">
        <f t="shared" si="4"/>
        <v>0.64469885130552429</v>
      </c>
      <c r="H13">
        <v>256</v>
      </c>
      <c r="I13">
        <v>80</v>
      </c>
      <c r="J13">
        <f t="shared" si="5"/>
        <v>0.40499999999999997</v>
      </c>
      <c r="K13">
        <v>192</v>
      </c>
      <c r="L13">
        <f t="shared" si="6"/>
        <v>-227.19946241097756</v>
      </c>
      <c r="M13">
        <f t="shared" si="7"/>
        <v>-327.51334798571412</v>
      </c>
      <c r="N13">
        <f t="shared" si="8"/>
        <v>2.0267958309866287</v>
      </c>
      <c r="O13">
        <f t="shared" si="9"/>
        <v>-599.31304559188902</v>
      </c>
      <c r="P13">
        <f t="shared" si="10"/>
        <v>483</v>
      </c>
      <c r="Q13">
        <f t="shared" si="11"/>
        <v>407</v>
      </c>
      <c r="R13">
        <f t="shared" si="12"/>
        <v>2</v>
      </c>
      <c r="S13">
        <f t="shared" si="13"/>
        <v>-108</v>
      </c>
    </row>
    <row r="14" spans="2:19" x14ac:dyDescent="0.15">
      <c r="B14">
        <v>10</v>
      </c>
      <c r="C14">
        <f t="shared" si="0"/>
        <v>1.308996938995747</v>
      </c>
      <c r="D14">
        <f t="shared" si="1"/>
        <v>0.93301270189221919</v>
      </c>
      <c r="E14">
        <f t="shared" si="2"/>
        <v>0.74999999999999967</v>
      </c>
      <c r="F14">
        <f t="shared" si="3"/>
        <v>0.73168886887382112</v>
      </c>
      <c r="G14">
        <f t="shared" si="4"/>
        <v>0.6816387600233339</v>
      </c>
      <c r="H14">
        <v>256</v>
      </c>
      <c r="I14">
        <v>80</v>
      </c>
      <c r="J14">
        <f t="shared" si="5"/>
        <v>0.41666666666666663</v>
      </c>
      <c r="K14">
        <v>192</v>
      </c>
      <c r="L14">
        <f t="shared" si="6"/>
        <v>-193.54964103607574</v>
      </c>
      <c r="M14">
        <f t="shared" si="7"/>
        <v>-338.79885415833638</v>
      </c>
      <c r="N14">
        <f t="shared" si="8"/>
        <v>42.024714427988471</v>
      </c>
      <c r="O14">
        <f t="shared" si="9"/>
        <v>-591.67052724112898</v>
      </c>
      <c r="P14">
        <f t="shared" si="10"/>
        <v>449</v>
      </c>
      <c r="Q14">
        <f t="shared" si="11"/>
        <v>418</v>
      </c>
      <c r="R14">
        <f t="shared" si="12"/>
        <v>42</v>
      </c>
      <c r="S14">
        <f t="shared" si="13"/>
        <v>-104</v>
      </c>
    </row>
    <row r="15" spans="2:19" x14ac:dyDescent="0.15">
      <c r="B15">
        <v>11</v>
      </c>
      <c r="C15">
        <f t="shared" si="0"/>
        <v>1.3613568165555769</v>
      </c>
      <c r="D15">
        <f t="shared" si="1"/>
        <v>0.95677272882130038</v>
      </c>
      <c r="E15">
        <f t="shared" si="2"/>
        <v>0.7911535738303731</v>
      </c>
      <c r="F15">
        <f t="shared" si="3"/>
        <v>0.70302540257370372</v>
      </c>
      <c r="G15">
        <f t="shared" si="4"/>
        <v>0.71116473712922657</v>
      </c>
      <c r="H15">
        <v>256</v>
      </c>
      <c r="I15">
        <v>80</v>
      </c>
      <c r="J15">
        <f t="shared" si="5"/>
        <v>0.42833333333333334</v>
      </c>
      <c r="K15">
        <v>192</v>
      </c>
      <c r="L15">
        <f t="shared" si="6"/>
        <v>-164.17393710241589</v>
      </c>
      <c r="M15">
        <f t="shared" si="7"/>
        <v>-345.03853549824589</v>
      </c>
      <c r="N15">
        <f t="shared" si="8"/>
        <v>74.910239115347423</v>
      </c>
      <c r="O15">
        <f t="shared" si="9"/>
        <v>-581.38637511835486</v>
      </c>
      <c r="P15">
        <f t="shared" si="10"/>
        <v>420</v>
      </c>
      <c r="Q15">
        <f t="shared" si="11"/>
        <v>425</v>
      </c>
      <c r="R15">
        <f t="shared" si="12"/>
        <v>74</v>
      </c>
      <c r="S15">
        <f t="shared" si="13"/>
        <v>-99</v>
      </c>
    </row>
    <row r="16" spans="2:19" x14ac:dyDescent="0.15">
      <c r="B16">
        <v>12</v>
      </c>
      <c r="C16">
        <f t="shared" si="0"/>
        <v>1.4137166941154069</v>
      </c>
      <c r="D16">
        <f t="shared" si="1"/>
        <v>0.97552825814757682</v>
      </c>
      <c r="E16">
        <f t="shared" si="2"/>
        <v>0.82363910354633196</v>
      </c>
      <c r="F16">
        <f t="shared" si="3"/>
        <v>0.67955598043024734</v>
      </c>
      <c r="G16">
        <f t="shared" si="4"/>
        <v>0.73362365655796935</v>
      </c>
      <c r="H16">
        <v>256</v>
      </c>
      <c r="I16">
        <v>80</v>
      </c>
      <c r="J16">
        <f t="shared" si="5"/>
        <v>0.43999999999999995</v>
      </c>
      <c r="K16">
        <v>192</v>
      </c>
      <c r="L16">
        <f t="shared" si="6"/>
        <v>-139.3780249775985</v>
      </c>
      <c r="M16">
        <f t="shared" si="7"/>
        <v>-346.83558199736405</v>
      </c>
      <c r="N16">
        <f t="shared" si="8"/>
        <v>100.71698989591877</v>
      </c>
      <c r="O16">
        <f t="shared" si="9"/>
        <v>-569.23572104726327</v>
      </c>
      <c r="P16">
        <f t="shared" si="10"/>
        <v>395</v>
      </c>
      <c r="Q16">
        <f t="shared" si="11"/>
        <v>426</v>
      </c>
      <c r="R16">
        <f t="shared" si="12"/>
        <v>100</v>
      </c>
      <c r="S16">
        <f t="shared" si="13"/>
        <v>-93</v>
      </c>
    </row>
    <row r="17" spans="2:19" x14ac:dyDescent="0.15">
      <c r="B17">
        <v>13</v>
      </c>
      <c r="C17">
        <f t="shared" si="0"/>
        <v>1.4660765716752369</v>
      </c>
      <c r="D17">
        <f t="shared" si="1"/>
        <v>0.98907380036690273</v>
      </c>
      <c r="E17">
        <f t="shared" si="2"/>
        <v>0.84710067088627372</v>
      </c>
      <c r="F17">
        <f t="shared" si="3"/>
        <v>0.66215857804117784</v>
      </c>
      <c r="G17">
        <f t="shared" si="4"/>
        <v>0.7493637418013267</v>
      </c>
      <c r="H17">
        <v>256</v>
      </c>
      <c r="I17">
        <v>80</v>
      </c>
      <c r="J17">
        <f t="shared" si="5"/>
        <v>0.45166666666666666</v>
      </c>
      <c r="K17">
        <v>192</v>
      </c>
      <c r="L17">
        <f t="shared" si="6"/>
        <v>-119.30464054289638</v>
      </c>
      <c r="M17">
        <f t="shared" si="7"/>
        <v>-344.73162634938666</v>
      </c>
      <c r="N17">
        <f t="shared" si="8"/>
        <v>119.60689927863362</v>
      </c>
      <c r="O17">
        <f t="shared" si="9"/>
        <v>-555.84048665476587</v>
      </c>
      <c r="P17">
        <f t="shared" si="10"/>
        <v>375</v>
      </c>
      <c r="Q17">
        <f t="shared" si="11"/>
        <v>424</v>
      </c>
      <c r="R17">
        <f t="shared" si="12"/>
        <v>119</v>
      </c>
      <c r="S17">
        <f t="shared" si="13"/>
        <v>-86</v>
      </c>
    </row>
    <row r="18" spans="2:19" x14ac:dyDescent="0.15">
      <c r="B18">
        <v>14</v>
      </c>
      <c r="C18">
        <f t="shared" si="0"/>
        <v>1.5184364492350668</v>
      </c>
      <c r="D18">
        <f t="shared" si="1"/>
        <v>0.99726094768413653</v>
      </c>
      <c r="E18">
        <f t="shared" si="2"/>
        <v>0.86128122600877388</v>
      </c>
      <c r="F18">
        <f t="shared" si="3"/>
        <v>0.65146596532650614</v>
      </c>
      <c r="G18">
        <f t="shared" si="4"/>
        <v>0.75867786050550035</v>
      </c>
      <c r="H18">
        <v>256</v>
      </c>
      <c r="I18">
        <v>80</v>
      </c>
      <c r="J18">
        <f t="shared" si="5"/>
        <v>0.46333333333333332</v>
      </c>
      <c r="K18">
        <v>192</v>
      </c>
      <c r="L18">
        <f t="shared" si="6"/>
        <v>-103.94666285665954</v>
      </c>
      <c r="M18">
        <f t="shared" si="7"/>
        <v>-339.18316321454984</v>
      </c>
      <c r="N18">
        <f t="shared" si="8"/>
        <v>131.84386645152475</v>
      </c>
      <c r="O18">
        <f t="shared" si="9"/>
        <v>-541.65316107142075</v>
      </c>
      <c r="P18">
        <f t="shared" si="10"/>
        <v>359</v>
      </c>
      <c r="Q18">
        <f t="shared" si="11"/>
        <v>419</v>
      </c>
      <c r="R18">
        <f t="shared" si="12"/>
        <v>131</v>
      </c>
      <c r="S18">
        <f t="shared" si="13"/>
        <v>-79</v>
      </c>
    </row>
    <row r="19" spans="2:19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0.8660254037844386</v>
      </c>
      <c r="F19">
        <f t="shared" si="3"/>
        <v>0.647859344852457</v>
      </c>
      <c r="G19">
        <f t="shared" si="4"/>
        <v>0.7617599814162892</v>
      </c>
      <c r="H19">
        <v>256</v>
      </c>
      <c r="I19">
        <v>80</v>
      </c>
      <c r="J19">
        <f t="shared" si="5"/>
        <v>0.47499999999999998</v>
      </c>
      <c r="K19">
        <v>192</v>
      </c>
      <c r="L19">
        <f t="shared" si="6"/>
        <v>-93.162089015218953</v>
      </c>
      <c r="M19">
        <f t="shared" si="7"/>
        <v>-330.54853735277902</v>
      </c>
      <c r="N19">
        <f t="shared" si="8"/>
        <v>137.77146324571925</v>
      </c>
      <c r="O19">
        <f t="shared" si="9"/>
        <v>-526.95221242383968</v>
      </c>
      <c r="P19">
        <f t="shared" si="10"/>
        <v>349</v>
      </c>
      <c r="Q19">
        <f t="shared" si="11"/>
        <v>410</v>
      </c>
      <c r="R19">
        <f t="shared" si="12"/>
        <v>137</v>
      </c>
      <c r="S19">
        <f t="shared" si="13"/>
        <v>-72</v>
      </c>
    </row>
    <row r="20" spans="2:19" x14ac:dyDescent="0.15">
      <c r="B20">
        <v>16</v>
      </c>
      <c r="C20">
        <f t="shared" si="0"/>
        <v>1.6231562043547263</v>
      </c>
      <c r="D20">
        <f t="shared" si="1"/>
        <v>0.99726094768413653</v>
      </c>
      <c r="E20">
        <f t="shared" si="2"/>
        <v>0.86128122600877388</v>
      </c>
      <c r="F20">
        <f t="shared" si="3"/>
        <v>0.65146596532650614</v>
      </c>
      <c r="G20">
        <f t="shared" si="4"/>
        <v>0.75867786050550035</v>
      </c>
      <c r="H20">
        <v>256</v>
      </c>
      <c r="I20">
        <v>80</v>
      </c>
      <c r="J20">
        <f t="shared" si="5"/>
        <v>0.48666666666666664</v>
      </c>
      <c r="K20">
        <v>192</v>
      </c>
      <c r="L20">
        <f t="shared" si="6"/>
        <v>-86.688946144353906</v>
      </c>
      <c r="M20">
        <f t="shared" si="7"/>
        <v>-319.08534032070156</v>
      </c>
      <c r="N20">
        <f t="shared" si="8"/>
        <v>137.79655778604072</v>
      </c>
      <c r="O20">
        <f t="shared" si="9"/>
        <v>-511.84787252690063</v>
      </c>
      <c r="P20">
        <f t="shared" si="10"/>
        <v>342</v>
      </c>
      <c r="Q20">
        <f t="shared" si="11"/>
        <v>399</v>
      </c>
      <c r="R20">
        <f t="shared" si="12"/>
        <v>137</v>
      </c>
      <c r="S20">
        <f t="shared" si="13"/>
        <v>-64</v>
      </c>
    </row>
    <row r="21" spans="2:19" x14ac:dyDescent="0.15">
      <c r="B21">
        <v>17</v>
      </c>
      <c r="C21">
        <f t="shared" si="0"/>
        <v>1.6755160819145565</v>
      </c>
      <c r="D21">
        <f t="shared" si="1"/>
        <v>0.98907380036690273</v>
      </c>
      <c r="E21">
        <f t="shared" si="2"/>
        <v>0.84710067088627372</v>
      </c>
      <c r="F21">
        <f t="shared" si="3"/>
        <v>0.66215857804117784</v>
      </c>
      <c r="G21">
        <f t="shared" si="4"/>
        <v>0.7493637418013267</v>
      </c>
      <c r="H21">
        <v>256</v>
      </c>
      <c r="I21">
        <v>80</v>
      </c>
      <c r="J21">
        <f t="shared" si="5"/>
        <v>0.49833333333333329</v>
      </c>
      <c r="K21">
        <v>192</v>
      </c>
      <c r="L21">
        <f t="shared" si="6"/>
        <v>-84.159055475334185</v>
      </c>
      <c r="M21">
        <f t="shared" si="7"/>
        <v>-304.9574272263672</v>
      </c>
      <c r="N21">
        <f t="shared" si="8"/>
        <v>132.37949733949736</v>
      </c>
      <c r="O21">
        <f t="shared" si="9"/>
        <v>-496.29689593124266</v>
      </c>
      <c r="P21">
        <f t="shared" si="10"/>
        <v>340</v>
      </c>
      <c r="Q21">
        <f t="shared" si="11"/>
        <v>384</v>
      </c>
      <c r="R21">
        <f t="shared" si="12"/>
        <v>132</v>
      </c>
      <c r="S21">
        <f t="shared" si="13"/>
        <v>-57</v>
      </c>
    </row>
    <row r="22" spans="2:19" x14ac:dyDescent="0.15">
      <c r="B22">
        <v>18</v>
      </c>
      <c r="C22">
        <f t="shared" si="0"/>
        <v>1.7278759594743862</v>
      </c>
      <c r="D22">
        <f t="shared" si="1"/>
        <v>0.97552825814757682</v>
      </c>
      <c r="E22">
        <f t="shared" si="2"/>
        <v>0.82363910354633196</v>
      </c>
      <c r="F22">
        <f t="shared" si="3"/>
        <v>0.67955598043024734</v>
      </c>
      <c r="G22">
        <f t="shared" si="4"/>
        <v>0.73362365655796935</v>
      </c>
      <c r="H22">
        <v>256</v>
      </c>
      <c r="I22">
        <v>80</v>
      </c>
      <c r="J22">
        <f t="shared" si="5"/>
        <v>0.51</v>
      </c>
      <c r="K22">
        <v>192</v>
      </c>
      <c r="L22">
        <f t="shared" si="6"/>
        <v>-85.110452921849628</v>
      </c>
      <c r="M22">
        <f t="shared" si="7"/>
        <v>-288.25030603694148</v>
      </c>
      <c r="N22">
        <f t="shared" si="8"/>
        <v>122.03034422392994</v>
      </c>
      <c r="O22">
        <f t="shared" si="9"/>
        <v>-480.12493580548193</v>
      </c>
      <c r="P22">
        <f t="shared" si="10"/>
        <v>341</v>
      </c>
      <c r="Q22">
        <f t="shared" si="11"/>
        <v>368</v>
      </c>
      <c r="R22">
        <f t="shared" si="12"/>
        <v>122</v>
      </c>
      <c r="S22">
        <f t="shared" si="13"/>
        <v>-49</v>
      </c>
    </row>
    <row r="23" spans="2:19" x14ac:dyDescent="0.15">
      <c r="B23">
        <v>19</v>
      </c>
      <c r="C23">
        <f t="shared" si="0"/>
        <v>1.780235837034216</v>
      </c>
      <c r="D23">
        <f t="shared" si="1"/>
        <v>0.9567727288213006</v>
      </c>
      <c r="E23">
        <f t="shared" si="2"/>
        <v>0.79115357383037344</v>
      </c>
      <c r="F23">
        <f t="shared" si="3"/>
        <v>0.7030254025737035</v>
      </c>
      <c r="G23">
        <f t="shared" si="4"/>
        <v>0.71116473712922679</v>
      </c>
      <c r="H23">
        <v>256</v>
      </c>
      <c r="I23">
        <v>80</v>
      </c>
      <c r="J23">
        <f t="shared" si="5"/>
        <v>0.52166666666666661</v>
      </c>
      <c r="K23">
        <v>192</v>
      </c>
      <c r="L23">
        <f t="shared" si="6"/>
        <v>-88.999047397191248</v>
      </c>
      <c r="M23">
        <f t="shared" si="7"/>
        <v>-268.99330231006149</v>
      </c>
      <c r="N23">
        <f t="shared" si="8"/>
        <v>107.30968515221835</v>
      </c>
      <c r="O23">
        <f t="shared" si="9"/>
        <v>-463.05526647098156</v>
      </c>
      <c r="P23">
        <f t="shared" si="10"/>
        <v>344</v>
      </c>
      <c r="Q23">
        <f t="shared" si="11"/>
        <v>348</v>
      </c>
      <c r="R23">
        <f t="shared" si="12"/>
        <v>107</v>
      </c>
      <c r="S23">
        <f t="shared" si="13"/>
        <v>-40</v>
      </c>
    </row>
    <row r="24" spans="2:19" x14ac:dyDescent="0.15">
      <c r="B24">
        <v>20</v>
      </c>
      <c r="C24">
        <f t="shared" si="0"/>
        <v>1.8325957145940459</v>
      </c>
      <c r="D24">
        <f t="shared" si="1"/>
        <v>0.93301270189221941</v>
      </c>
      <c r="E24">
        <f t="shared" si="2"/>
        <v>0.75000000000000011</v>
      </c>
      <c r="F24">
        <f t="shared" si="3"/>
        <v>0.73168886887382079</v>
      </c>
      <c r="G24">
        <f t="shared" si="4"/>
        <v>0.68163876002333423</v>
      </c>
      <c r="H24">
        <v>256</v>
      </c>
      <c r="I24">
        <v>80</v>
      </c>
      <c r="J24">
        <f t="shared" si="5"/>
        <v>0.53333333333333333</v>
      </c>
      <c r="K24">
        <v>192</v>
      </c>
      <c r="L24">
        <f t="shared" si="6"/>
        <v>-95.21065705943397</v>
      </c>
      <c r="M24">
        <f t="shared" si="7"/>
        <v>-247.18660481120043</v>
      </c>
      <c r="N24">
        <f t="shared" si="8"/>
        <v>88.83180814686628</v>
      </c>
      <c r="O24">
        <f t="shared" si="9"/>
        <v>-444.74259940713205</v>
      </c>
      <c r="P24">
        <f t="shared" si="10"/>
        <v>351</v>
      </c>
      <c r="Q24">
        <f t="shared" si="11"/>
        <v>327</v>
      </c>
      <c r="R24">
        <f t="shared" si="12"/>
        <v>88</v>
      </c>
      <c r="S24">
        <f t="shared" si="13"/>
        <v>-31</v>
      </c>
    </row>
    <row r="25" spans="2:19" x14ac:dyDescent="0.15">
      <c r="B25">
        <v>21</v>
      </c>
      <c r="C25">
        <f t="shared" si="0"/>
        <v>1.8849555921538759</v>
      </c>
      <c r="D25">
        <f t="shared" si="1"/>
        <v>0.90450849718747384</v>
      </c>
      <c r="E25">
        <f t="shared" si="2"/>
        <v>0.70062926922203694</v>
      </c>
      <c r="F25">
        <f t="shared" si="3"/>
        <v>0.76443664951736656</v>
      </c>
      <c r="G25">
        <f t="shared" si="4"/>
        <v>0.64469885130552462</v>
      </c>
      <c r="H25">
        <v>256</v>
      </c>
      <c r="I25">
        <v>80</v>
      </c>
      <c r="J25">
        <f t="shared" si="5"/>
        <v>0.54499999999999993</v>
      </c>
      <c r="K25">
        <v>192</v>
      </c>
      <c r="L25">
        <f t="shared" si="6"/>
        <v>-103.07482986503828</v>
      </c>
      <c r="M25">
        <f t="shared" si="7"/>
        <v>-222.83102006277858</v>
      </c>
      <c r="N25">
        <f t="shared" si="8"/>
        <v>67.267618920274657</v>
      </c>
      <c r="O25">
        <f t="shared" si="9"/>
        <v>-424.81061186186264</v>
      </c>
      <c r="P25">
        <f t="shared" si="10"/>
        <v>359</v>
      </c>
      <c r="Q25">
        <f t="shared" si="11"/>
        <v>302</v>
      </c>
      <c r="R25">
        <f t="shared" si="12"/>
        <v>67</v>
      </c>
      <c r="S25">
        <f t="shared" si="13"/>
        <v>-21</v>
      </c>
    </row>
    <row r="26" spans="2:19" x14ac:dyDescent="0.15">
      <c r="B26">
        <v>22</v>
      </c>
      <c r="C26">
        <f t="shared" si="0"/>
        <v>1.9373154697137056</v>
      </c>
      <c r="D26">
        <f t="shared" si="1"/>
        <v>0.87157241273869734</v>
      </c>
      <c r="E26">
        <f t="shared" si="2"/>
        <v>0.6435822975543769</v>
      </c>
      <c r="F26">
        <f t="shared" si="3"/>
        <v>0.79995128410675209</v>
      </c>
      <c r="G26">
        <f t="shared" si="4"/>
        <v>0.60006494903131813</v>
      </c>
      <c r="H26">
        <v>256</v>
      </c>
      <c r="I26">
        <v>80</v>
      </c>
      <c r="J26">
        <f t="shared" si="5"/>
        <v>0.55666666666666664</v>
      </c>
      <c r="K26">
        <v>192</v>
      </c>
      <c r="L26">
        <f t="shared" si="6"/>
        <v>-111.88178814011115</v>
      </c>
      <c r="M26">
        <f t="shared" si="7"/>
        <v>-195.95801248865411</v>
      </c>
      <c r="N26">
        <f t="shared" si="8"/>
        <v>43.344593884756762</v>
      </c>
      <c r="O26">
        <f t="shared" si="9"/>
        <v>-402.89151831746665</v>
      </c>
      <c r="P26">
        <f t="shared" si="10"/>
        <v>367</v>
      </c>
      <c r="Q26">
        <f t="shared" si="11"/>
        <v>275</v>
      </c>
      <c r="R26">
        <f t="shared" si="12"/>
        <v>43</v>
      </c>
      <c r="S26">
        <f t="shared" si="13"/>
        <v>-10</v>
      </c>
    </row>
    <row r="27" spans="2:19" x14ac:dyDescent="0.15">
      <c r="B27">
        <v>23</v>
      </c>
      <c r="C27">
        <f t="shared" si="0"/>
        <v>1.9896753472735356</v>
      </c>
      <c r="D27">
        <f t="shared" si="1"/>
        <v>0.83456530317942923</v>
      </c>
      <c r="E27">
        <f t="shared" si="2"/>
        <v>0.57948410355645663</v>
      </c>
      <c r="F27">
        <f t="shared" si="3"/>
        <v>0.83674526219070822</v>
      </c>
      <c r="G27">
        <f t="shared" si="4"/>
        <v>0.54759233577671895</v>
      </c>
      <c r="H27">
        <v>256</v>
      </c>
      <c r="I27">
        <v>80</v>
      </c>
      <c r="J27">
        <f t="shared" si="5"/>
        <v>0.56833333333333336</v>
      </c>
      <c r="K27">
        <v>192</v>
      </c>
      <c r="L27">
        <f t="shared" si="6"/>
        <v>-120.90343774924565</v>
      </c>
      <c r="M27">
        <f t="shared" si="7"/>
        <v>-166.65742749356019</v>
      </c>
      <c r="N27">
        <f t="shared" si="8"/>
        <v>17.84136521588195</v>
      </c>
      <c r="O27">
        <f t="shared" si="9"/>
        <v>-378.66561122751091</v>
      </c>
      <c r="P27">
        <f t="shared" si="10"/>
        <v>376</v>
      </c>
      <c r="Q27">
        <f t="shared" si="11"/>
        <v>246</v>
      </c>
      <c r="R27">
        <f t="shared" si="12"/>
        <v>17</v>
      </c>
      <c r="S27">
        <f t="shared" si="13"/>
        <v>2</v>
      </c>
    </row>
    <row r="28" spans="2:19" x14ac:dyDescent="0.15">
      <c r="B28">
        <v>24</v>
      </c>
      <c r="C28">
        <f t="shared" si="0"/>
        <v>2.0420352248333655</v>
      </c>
      <c r="D28">
        <f t="shared" si="1"/>
        <v>0.79389262614623668</v>
      </c>
      <c r="E28">
        <f t="shared" si="2"/>
        <v>0.50903696045512736</v>
      </c>
      <c r="F28">
        <f t="shared" si="3"/>
        <v>0.87321423685543031</v>
      </c>
      <c r="G28">
        <f t="shared" si="4"/>
        <v>0.48733653316059578</v>
      </c>
      <c r="H28">
        <v>256</v>
      </c>
      <c r="I28">
        <v>80</v>
      </c>
      <c r="J28">
        <f t="shared" si="5"/>
        <v>0.57999999999999996</v>
      </c>
      <c r="K28">
        <v>192</v>
      </c>
      <c r="L28">
        <f t="shared" si="6"/>
        <v>-129.41869764653478</v>
      </c>
      <c r="M28">
        <f t="shared" si="7"/>
        <v>-135.10026291226299</v>
      </c>
      <c r="N28">
        <f t="shared" si="8"/>
        <v>-8.4247997583868539</v>
      </c>
      <c r="O28">
        <f t="shared" si="9"/>
        <v>-351.89828033843878</v>
      </c>
      <c r="P28">
        <f t="shared" si="10"/>
        <v>385</v>
      </c>
      <c r="Q28">
        <f t="shared" si="11"/>
        <v>215</v>
      </c>
      <c r="R28">
        <f t="shared" si="12"/>
        <v>-9</v>
      </c>
      <c r="S28">
        <f t="shared" si="13"/>
        <v>16</v>
      </c>
    </row>
    <row r="29" spans="2:19" x14ac:dyDescent="0.15">
      <c r="B29">
        <v>25</v>
      </c>
      <c r="C29">
        <f t="shared" si="0"/>
        <v>2.0943951023931957</v>
      </c>
      <c r="D29">
        <f t="shared" si="1"/>
        <v>0.74999999999999967</v>
      </c>
      <c r="E29">
        <f t="shared" si="2"/>
        <v>0.43301270189221874</v>
      </c>
      <c r="F29">
        <f t="shared" si="3"/>
        <v>0.90770571906660857</v>
      </c>
      <c r="G29">
        <f t="shared" si="4"/>
        <v>0.4196073492847463</v>
      </c>
      <c r="H29">
        <v>256</v>
      </c>
      <c r="I29">
        <v>80</v>
      </c>
      <c r="J29">
        <f t="shared" si="5"/>
        <v>0.59166666666666667</v>
      </c>
      <c r="K29">
        <v>192</v>
      </c>
      <c r="L29">
        <f t="shared" si="6"/>
        <v>-136.74253084121432</v>
      </c>
      <c r="M29">
        <f t="shared" si="7"/>
        <v>-101.55405309897756</v>
      </c>
      <c r="N29">
        <f t="shared" si="8"/>
        <v>-34.618375973039448</v>
      </c>
      <c r="O29">
        <f t="shared" si="9"/>
        <v>-322.47172669716059</v>
      </c>
      <c r="P29">
        <f t="shared" si="10"/>
        <v>392</v>
      </c>
      <c r="Q29">
        <f t="shared" si="11"/>
        <v>181</v>
      </c>
      <c r="R29">
        <f t="shared" si="12"/>
        <v>-35</v>
      </c>
      <c r="S29">
        <f t="shared" si="13"/>
        <v>30</v>
      </c>
    </row>
    <row r="30" spans="2:19" x14ac:dyDescent="0.15">
      <c r="B30">
        <v>26</v>
      </c>
      <c r="C30">
        <f t="shared" si="0"/>
        <v>2.1467549799530254</v>
      </c>
      <c r="D30">
        <f t="shared" si="1"/>
        <v>0.70336832153789997</v>
      </c>
      <c r="E30">
        <f t="shared" si="2"/>
        <v>0.35224426555364674</v>
      </c>
      <c r="F30">
        <f t="shared" si="3"/>
        <v>0.93860079407431984</v>
      </c>
      <c r="G30">
        <f t="shared" si="4"/>
        <v>0.3450051439660809</v>
      </c>
      <c r="H30">
        <v>256</v>
      </c>
      <c r="I30">
        <v>80</v>
      </c>
      <c r="J30">
        <f t="shared" si="5"/>
        <v>0.60333333333333328</v>
      </c>
      <c r="K30">
        <v>192</v>
      </c>
      <c r="L30">
        <f t="shared" si="6"/>
        <v>-142.25713251330262</v>
      </c>
      <c r="M30">
        <f t="shared" si="7"/>
        <v>-66.388922964613357</v>
      </c>
      <c r="N30">
        <f t="shared" si="8"/>
        <v>-59.913363345707623</v>
      </c>
      <c r="O30">
        <f t="shared" si="9"/>
        <v>-290.40856000334605</v>
      </c>
      <c r="P30">
        <f t="shared" si="10"/>
        <v>398</v>
      </c>
      <c r="Q30">
        <f t="shared" si="11"/>
        <v>146</v>
      </c>
      <c r="R30">
        <f t="shared" si="12"/>
        <v>-60</v>
      </c>
      <c r="S30">
        <f t="shared" si="13"/>
        <v>46</v>
      </c>
    </row>
    <row r="31" spans="2:19" x14ac:dyDescent="0.15">
      <c r="B31">
        <v>27</v>
      </c>
      <c r="C31">
        <f t="shared" si="0"/>
        <v>2.1991148575128552</v>
      </c>
      <c r="D31">
        <f t="shared" si="1"/>
        <v>0.65450849718747373</v>
      </c>
      <c r="E31">
        <f t="shared" si="2"/>
        <v>0.26761656732981748</v>
      </c>
      <c r="F31">
        <f t="shared" si="3"/>
        <v>0.96440389471426236</v>
      </c>
      <c r="G31">
        <f t="shared" si="4"/>
        <v>0.26443359820560219</v>
      </c>
      <c r="H31">
        <v>256</v>
      </c>
      <c r="I31">
        <v>80</v>
      </c>
      <c r="J31">
        <f t="shared" si="5"/>
        <v>0.61499999999999999</v>
      </c>
      <c r="K31">
        <v>192</v>
      </c>
      <c r="L31">
        <f t="shared" si="6"/>
        <v>-145.44292202740024</v>
      </c>
      <c r="M31">
        <f t="shared" si="7"/>
        <v>-30.073172586397007</v>
      </c>
      <c r="N31">
        <f t="shared" si="8"/>
        <v>-83.526762447551931</v>
      </c>
      <c r="O31">
        <f t="shared" si="9"/>
        <v>-255.88481622680968</v>
      </c>
      <c r="P31">
        <f t="shared" si="10"/>
        <v>401</v>
      </c>
      <c r="Q31">
        <f t="shared" si="11"/>
        <v>110</v>
      </c>
      <c r="R31">
        <f t="shared" si="12"/>
        <v>-84</v>
      </c>
      <c r="S31">
        <f t="shared" si="13"/>
        <v>64</v>
      </c>
    </row>
    <row r="32" spans="2:19" x14ac:dyDescent="0.15">
      <c r="B32">
        <v>28</v>
      </c>
      <c r="C32">
        <f t="shared" si="0"/>
        <v>2.2514747350726854</v>
      </c>
      <c r="D32">
        <f t="shared" si="1"/>
        <v>0.60395584540887948</v>
      </c>
      <c r="E32">
        <f t="shared" si="2"/>
        <v>0.18005680599195506</v>
      </c>
      <c r="F32">
        <f t="shared" si="3"/>
        <v>0.98383352124822632</v>
      </c>
      <c r="G32">
        <f t="shared" si="4"/>
        <v>0.17908546135383455</v>
      </c>
      <c r="H32">
        <v>256</v>
      </c>
      <c r="I32">
        <v>80</v>
      </c>
      <c r="J32">
        <f t="shared" si="5"/>
        <v>0.62666666666666671</v>
      </c>
      <c r="K32">
        <v>192</v>
      </c>
      <c r="L32">
        <f t="shared" si="6"/>
        <v>-145.90645974395625</v>
      </c>
      <c r="M32">
        <f t="shared" si="7"/>
        <v>6.8416838724761107</v>
      </c>
      <c r="N32">
        <f t="shared" si="8"/>
        <v>-104.75490692222405</v>
      </c>
      <c r="O32">
        <f t="shared" si="9"/>
        <v>-219.23069973349925</v>
      </c>
      <c r="P32">
        <f t="shared" si="10"/>
        <v>401</v>
      </c>
      <c r="Q32">
        <f t="shared" si="11"/>
        <v>73</v>
      </c>
      <c r="R32">
        <f t="shared" si="12"/>
        <v>-105</v>
      </c>
      <c r="S32">
        <f t="shared" si="13"/>
        <v>82</v>
      </c>
    </row>
    <row r="33" spans="2:19" x14ac:dyDescent="0.15">
      <c r="B33">
        <v>29</v>
      </c>
      <c r="C33">
        <f t="shared" si="0"/>
        <v>2.3038346126325151</v>
      </c>
      <c r="D33">
        <f t="shared" si="1"/>
        <v>0.55226423163382676</v>
      </c>
      <c r="E33">
        <f t="shared" si="2"/>
        <v>9.0524304608336506E-2</v>
      </c>
      <c r="F33">
        <f t="shared" si="3"/>
        <v>0.99590547238524751</v>
      </c>
      <c r="G33">
        <f t="shared" si="4"/>
        <v>9.0400719428094231E-2</v>
      </c>
      <c r="H33">
        <v>256</v>
      </c>
      <c r="I33">
        <v>80</v>
      </c>
      <c r="J33">
        <f t="shared" si="5"/>
        <v>0.63833333333333331</v>
      </c>
      <c r="K33">
        <v>192</v>
      </c>
      <c r="L33">
        <f t="shared" si="6"/>
        <v>-143.40229910802617</v>
      </c>
      <c r="M33">
        <f t="shared" si="7"/>
        <v>43.745298944764293</v>
      </c>
      <c r="N33">
        <f t="shared" si="8"/>
        <v>-123.00902976445609</v>
      </c>
      <c r="O33">
        <f t="shared" si="9"/>
        <v>-180.91849430350041</v>
      </c>
      <c r="P33">
        <f t="shared" si="10"/>
        <v>399</v>
      </c>
      <c r="Q33">
        <f t="shared" si="11"/>
        <v>36</v>
      </c>
      <c r="R33">
        <f t="shared" si="12"/>
        <v>-124</v>
      </c>
      <c r="S33">
        <f t="shared" si="13"/>
        <v>101</v>
      </c>
    </row>
    <row r="34" spans="2:19" x14ac:dyDescent="0.15">
      <c r="B34">
        <v>30</v>
      </c>
      <c r="C34">
        <f t="shared" si="0"/>
        <v>2.3561944901923448</v>
      </c>
      <c r="D34">
        <f t="shared" si="1"/>
        <v>0.50000000000000011</v>
      </c>
      <c r="E34">
        <f t="shared" si="2"/>
        <v>1.9229626863835638E-16</v>
      </c>
      <c r="F34">
        <f t="shared" si="3"/>
        <v>1</v>
      </c>
      <c r="G34">
        <f t="shared" si="4"/>
        <v>1.9229626863835638E-16</v>
      </c>
      <c r="H34">
        <v>256</v>
      </c>
      <c r="I34">
        <v>80</v>
      </c>
      <c r="J34">
        <f t="shared" si="5"/>
        <v>0.64999999999999991</v>
      </c>
      <c r="K34">
        <v>192</v>
      </c>
      <c r="L34">
        <f t="shared" si="6"/>
        <v>-137.84615384615392</v>
      </c>
      <c r="M34">
        <f t="shared" si="7"/>
        <v>79.999999999999929</v>
      </c>
      <c r="N34">
        <f t="shared" si="8"/>
        <v>-137.8461538461539</v>
      </c>
      <c r="O34">
        <f t="shared" si="9"/>
        <v>-141.53846153846166</v>
      </c>
      <c r="P34">
        <f t="shared" si="10"/>
        <v>393</v>
      </c>
      <c r="Q34">
        <f t="shared" si="11"/>
        <v>0</v>
      </c>
      <c r="R34">
        <f t="shared" si="12"/>
        <v>-138</v>
      </c>
      <c r="S34">
        <f t="shared" si="13"/>
        <v>121</v>
      </c>
    </row>
    <row r="35" spans="2:19" x14ac:dyDescent="0.15">
      <c r="B35">
        <v>31</v>
      </c>
      <c r="C35">
        <f t="shared" si="0"/>
        <v>2.4085543677521746</v>
      </c>
      <c r="D35">
        <f t="shared" si="1"/>
        <v>0.44773576836617346</v>
      </c>
      <c r="E35">
        <f t="shared" si="2"/>
        <v>-9.0524304608336117E-2</v>
      </c>
      <c r="F35">
        <f t="shared" si="3"/>
        <v>0.99590547238524751</v>
      </c>
      <c r="G35">
        <f t="shared" si="4"/>
        <v>-9.0400719428093843E-2</v>
      </c>
      <c r="H35">
        <v>256</v>
      </c>
      <c r="I35">
        <v>80</v>
      </c>
      <c r="J35">
        <f t="shared" si="5"/>
        <v>0.66166666666666663</v>
      </c>
      <c r="K35">
        <v>192</v>
      </c>
      <c r="L35">
        <f t="shared" si="6"/>
        <v>-129.31758327046356</v>
      </c>
      <c r="M35">
        <f t="shared" si="7"/>
        <v>114.97619774346401</v>
      </c>
      <c r="N35">
        <f t="shared" si="8"/>
        <v>-148.99169450116207</v>
      </c>
      <c r="O35">
        <f t="shared" si="9"/>
        <v>-101.76494284617172</v>
      </c>
      <c r="P35">
        <f t="shared" si="10"/>
        <v>385</v>
      </c>
      <c r="Q35">
        <f t="shared" si="11"/>
        <v>-35</v>
      </c>
      <c r="R35">
        <f t="shared" si="12"/>
        <v>-149</v>
      </c>
      <c r="S35">
        <f t="shared" si="13"/>
        <v>141</v>
      </c>
    </row>
    <row r="36" spans="2:19" x14ac:dyDescent="0.15">
      <c r="B36">
        <v>32</v>
      </c>
      <c r="C36">
        <f t="shared" si="0"/>
        <v>2.4609142453120043</v>
      </c>
      <c r="D36">
        <f t="shared" si="1"/>
        <v>0.39604415459112069</v>
      </c>
      <c r="E36">
        <f t="shared" si="2"/>
        <v>-0.18005680599195475</v>
      </c>
      <c r="F36">
        <f t="shared" si="3"/>
        <v>0.98383352124822643</v>
      </c>
      <c r="G36">
        <f t="shared" si="4"/>
        <v>-0.17908546135383427</v>
      </c>
      <c r="H36">
        <v>256</v>
      </c>
      <c r="I36">
        <v>80</v>
      </c>
      <c r="J36">
        <f t="shared" si="5"/>
        <v>0.67333333333333334</v>
      </c>
      <c r="K36">
        <v>192</v>
      </c>
      <c r="L36">
        <f t="shared" si="6"/>
        <v>-118.0515565933851</v>
      </c>
      <c r="M36">
        <f t="shared" si="7"/>
        <v>148.08793778205182</v>
      </c>
      <c r="N36">
        <f t="shared" si="8"/>
        <v>-156.35102159578926</v>
      </c>
      <c r="O36">
        <f t="shared" si="9"/>
        <v>-62.316062801727298</v>
      </c>
      <c r="P36">
        <f t="shared" si="10"/>
        <v>374</v>
      </c>
      <c r="Q36">
        <f t="shared" si="11"/>
        <v>-69</v>
      </c>
      <c r="R36">
        <f t="shared" si="12"/>
        <v>-157</v>
      </c>
      <c r="S36">
        <f t="shared" si="13"/>
        <v>160</v>
      </c>
    </row>
    <row r="37" spans="2:19" x14ac:dyDescent="0.15">
      <c r="B37">
        <v>33</v>
      </c>
      <c r="C37">
        <f t="shared" si="0"/>
        <v>2.5132741228718345</v>
      </c>
      <c r="D37">
        <f t="shared" si="1"/>
        <v>0.34549150281252644</v>
      </c>
      <c r="E37">
        <f t="shared" si="2"/>
        <v>-0.26761656732981715</v>
      </c>
      <c r="F37">
        <f t="shared" si="3"/>
        <v>0.96440389471426247</v>
      </c>
      <c r="G37">
        <f t="shared" si="4"/>
        <v>-0.26443359820560192</v>
      </c>
      <c r="H37">
        <v>256</v>
      </c>
      <c r="I37">
        <v>80</v>
      </c>
      <c r="J37">
        <f t="shared" si="5"/>
        <v>0.68500000000000005</v>
      </c>
      <c r="K37">
        <v>192</v>
      </c>
      <c r="L37">
        <f t="shared" si="6"/>
        <v>-104.41955773262947</v>
      </c>
      <c r="M37">
        <f t="shared" si="7"/>
        <v>178.82481918340744</v>
      </c>
      <c r="N37">
        <f t="shared" si="8"/>
        <v>-160.00851852329615</v>
      </c>
      <c r="O37">
        <f t="shared" si="9"/>
        <v>-23.911182041196611</v>
      </c>
      <c r="P37">
        <f t="shared" si="10"/>
        <v>360</v>
      </c>
      <c r="Q37">
        <f t="shared" si="11"/>
        <v>-99</v>
      </c>
      <c r="R37">
        <f t="shared" si="12"/>
        <v>-161</v>
      </c>
      <c r="S37">
        <f t="shared" si="13"/>
        <v>180</v>
      </c>
    </row>
    <row r="38" spans="2:19" x14ac:dyDescent="0.15">
      <c r="B38">
        <v>34</v>
      </c>
      <c r="C38">
        <f t="shared" si="0"/>
        <v>2.5656340004316647</v>
      </c>
      <c r="D38">
        <f t="shared" si="1"/>
        <v>0.29663167846209976</v>
      </c>
      <c r="E38">
        <f t="shared" si="2"/>
        <v>-0.35224426555364718</v>
      </c>
      <c r="F38">
        <f t="shared" si="3"/>
        <v>0.93860079407431973</v>
      </c>
      <c r="G38">
        <f t="shared" si="4"/>
        <v>-0.34500514396608134</v>
      </c>
      <c r="H38">
        <v>256</v>
      </c>
      <c r="I38">
        <v>80</v>
      </c>
      <c r="J38">
        <f t="shared" si="5"/>
        <v>0.69666666666666655</v>
      </c>
      <c r="K38">
        <v>192</v>
      </c>
      <c r="L38">
        <f t="shared" si="6"/>
        <v>-88.902109975635256</v>
      </c>
      <c r="M38">
        <f t="shared" si="7"/>
        <v>206.77700984016769</v>
      </c>
      <c r="N38">
        <f t="shared" si="8"/>
        <v>-160.2141780107296</v>
      </c>
      <c r="O38">
        <f t="shared" si="9"/>
        <v>12.769572978872844</v>
      </c>
      <c r="P38">
        <f t="shared" si="10"/>
        <v>344</v>
      </c>
      <c r="Q38">
        <f t="shared" si="11"/>
        <v>-127</v>
      </c>
      <c r="R38">
        <f t="shared" si="12"/>
        <v>-161</v>
      </c>
      <c r="S38">
        <f t="shared" si="13"/>
        <v>198</v>
      </c>
    </row>
    <row r="39" spans="2:19" x14ac:dyDescent="0.15">
      <c r="B39">
        <v>35</v>
      </c>
      <c r="C39">
        <f t="shared" si="0"/>
        <v>2.617993877991494</v>
      </c>
      <c r="D39">
        <f t="shared" si="1"/>
        <v>0.25000000000000033</v>
      </c>
      <c r="E39">
        <f t="shared" si="2"/>
        <v>-0.43301270189221874</v>
      </c>
      <c r="F39">
        <f t="shared" si="3"/>
        <v>0.90770571906660857</v>
      </c>
      <c r="G39">
        <f t="shared" si="4"/>
        <v>-0.4196073492847463</v>
      </c>
      <c r="H39">
        <v>256</v>
      </c>
      <c r="I39">
        <v>80</v>
      </c>
      <c r="J39">
        <f t="shared" si="5"/>
        <v>0.70833333333333326</v>
      </c>
      <c r="K39">
        <v>192</v>
      </c>
      <c r="L39">
        <f t="shared" si="6"/>
        <v>-72.055525761484944</v>
      </c>
      <c r="M39">
        <f t="shared" si="7"/>
        <v>231.65103258855774</v>
      </c>
      <c r="N39">
        <f t="shared" si="8"/>
        <v>-157.35923159254867</v>
      </c>
      <c r="O39">
        <f t="shared" si="9"/>
        <v>47.119799347722477</v>
      </c>
      <c r="P39">
        <f t="shared" si="10"/>
        <v>328</v>
      </c>
      <c r="Q39">
        <f t="shared" si="11"/>
        <v>-152</v>
      </c>
      <c r="R39">
        <f t="shared" si="12"/>
        <v>-158</v>
      </c>
      <c r="S39">
        <f t="shared" si="13"/>
        <v>215</v>
      </c>
    </row>
    <row r="40" spans="2:19" x14ac:dyDescent="0.15">
      <c r="B40">
        <v>36</v>
      </c>
      <c r="C40">
        <f t="shared" si="0"/>
        <v>2.6703537555513241</v>
      </c>
      <c r="D40">
        <f t="shared" si="1"/>
        <v>0.20610737385376349</v>
      </c>
      <c r="E40">
        <f t="shared" si="2"/>
        <v>-0.50903696045512703</v>
      </c>
      <c r="F40">
        <f t="shared" si="3"/>
        <v>0.87321423685543043</v>
      </c>
      <c r="G40">
        <f t="shared" si="4"/>
        <v>-0.4873365331605955</v>
      </c>
      <c r="H40">
        <v>256</v>
      </c>
      <c r="I40">
        <v>80</v>
      </c>
      <c r="J40">
        <f t="shared" si="5"/>
        <v>0.72</v>
      </c>
      <c r="K40">
        <v>192</v>
      </c>
      <c r="L40">
        <f t="shared" si="6"/>
        <v>-54.476173104153077</v>
      </c>
      <c r="M40">
        <f t="shared" si="7"/>
        <v>253.27521179043396</v>
      </c>
      <c r="N40">
        <f t="shared" si="8"/>
        <v>-151.94347973627217</v>
      </c>
      <c r="O40">
        <f t="shared" si="9"/>
        <v>78.63236441934788</v>
      </c>
      <c r="P40">
        <f t="shared" si="10"/>
        <v>310</v>
      </c>
      <c r="Q40">
        <f t="shared" si="11"/>
        <v>-174</v>
      </c>
      <c r="R40">
        <f t="shared" si="12"/>
        <v>-152</v>
      </c>
      <c r="S40">
        <f t="shared" si="13"/>
        <v>231</v>
      </c>
    </row>
    <row r="41" spans="2:19" x14ac:dyDescent="0.15">
      <c r="B41">
        <v>37</v>
      </c>
      <c r="C41">
        <f t="shared" si="0"/>
        <v>2.7227136331111543</v>
      </c>
      <c r="D41">
        <f t="shared" si="1"/>
        <v>0.16543469682057077</v>
      </c>
      <c r="E41">
        <f t="shared" si="2"/>
        <v>-0.57948410355645663</v>
      </c>
      <c r="F41">
        <f t="shared" si="3"/>
        <v>0.83674526219070822</v>
      </c>
      <c r="G41">
        <f t="shared" si="4"/>
        <v>-0.54759233577671895</v>
      </c>
      <c r="H41">
        <v>256</v>
      </c>
      <c r="I41">
        <v>80</v>
      </c>
      <c r="J41">
        <f t="shared" si="5"/>
        <v>0.73166666666666669</v>
      </c>
      <c r="K41">
        <v>192</v>
      </c>
      <c r="L41">
        <f t="shared" si="6"/>
        <v>-36.76554048403824</v>
      </c>
      <c r="M41">
        <f t="shared" si="7"/>
        <v>271.59494937426882</v>
      </c>
      <c r="N41">
        <f t="shared" si="8"/>
        <v>-144.53769950706447</v>
      </c>
      <c r="O41">
        <f t="shared" si="9"/>
        <v>106.91433285199733</v>
      </c>
      <c r="P41">
        <f t="shared" si="10"/>
        <v>292</v>
      </c>
      <c r="Q41">
        <f t="shared" si="11"/>
        <v>-192</v>
      </c>
      <c r="R41">
        <f t="shared" si="12"/>
        <v>-145</v>
      </c>
      <c r="S41">
        <f t="shared" si="13"/>
        <v>245</v>
      </c>
    </row>
    <row r="42" spans="2:19" x14ac:dyDescent="0.15">
      <c r="B42">
        <v>38</v>
      </c>
      <c r="C42">
        <f t="shared" si="0"/>
        <v>2.7750735106709836</v>
      </c>
      <c r="D42">
        <f t="shared" si="1"/>
        <v>0.12842758726130316</v>
      </c>
      <c r="E42">
        <f t="shared" si="2"/>
        <v>-0.64358229755437601</v>
      </c>
      <c r="F42">
        <f t="shared" si="3"/>
        <v>0.79995128410675254</v>
      </c>
      <c r="G42">
        <f t="shared" si="4"/>
        <v>-0.60006494903131746</v>
      </c>
      <c r="H42">
        <v>256</v>
      </c>
      <c r="I42">
        <v>80</v>
      </c>
      <c r="J42">
        <f t="shared" si="5"/>
        <v>0.74333333333333329</v>
      </c>
      <c r="K42">
        <v>192</v>
      </c>
      <c r="L42">
        <f t="shared" si="6"/>
        <v>-19.498917575778478</v>
      </c>
      <c r="M42">
        <f t="shared" si="7"/>
        <v>286.65913939733264</v>
      </c>
      <c r="N42">
        <f t="shared" si="8"/>
        <v>-135.74468348677811</v>
      </c>
      <c r="O42">
        <f t="shared" si="9"/>
        <v>131.69099826095726</v>
      </c>
      <c r="P42">
        <f t="shared" si="10"/>
        <v>275</v>
      </c>
      <c r="Q42">
        <f t="shared" si="11"/>
        <v>-207</v>
      </c>
      <c r="R42">
        <f t="shared" si="12"/>
        <v>-136</v>
      </c>
      <c r="S42">
        <f t="shared" si="13"/>
        <v>257</v>
      </c>
    </row>
    <row r="43" spans="2:19" x14ac:dyDescent="0.15">
      <c r="B43">
        <v>39</v>
      </c>
      <c r="C43">
        <f t="shared" si="0"/>
        <v>2.8274333882308138</v>
      </c>
      <c r="D43">
        <f t="shared" si="1"/>
        <v>9.5491502812526344E-2</v>
      </c>
      <c r="E43">
        <f t="shared" si="2"/>
        <v>-0.70062926922203661</v>
      </c>
      <c r="F43">
        <f t="shared" si="3"/>
        <v>0.76443664951736678</v>
      </c>
      <c r="G43">
        <f t="shared" si="4"/>
        <v>-0.64469885130552429</v>
      </c>
      <c r="H43">
        <v>256</v>
      </c>
      <c r="I43">
        <v>80</v>
      </c>
      <c r="J43">
        <f t="shared" si="5"/>
        <v>0.75499999999999989</v>
      </c>
      <c r="K43">
        <v>192</v>
      </c>
      <c r="L43">
        <f t="shared" si="6"/>
        <v>-3.1997116244316999</v>
      </c>
      <c r="M43">
        <f t="shared" si="7"/>
        <v>298.5998754095553</v>
      </c>
      <c r="N43">
        <f t="shared" si="8"/>
        <v>-126.16214154230654</v>
      </c>
      <c r="O43">
        <f t="shared" si="9"/>
        <v>152.80003762081247</v>
      </c>
      <c r="P43">
        <f t="shared" si="10"/>
        <v>259</v>
      </c>
      <c r="Q43">
        <f t="shared" si="11"/>
        <v>-219</v>
      </c>
      <c r="R43">
        <f t="shared" si="12"/>
        <v>-127</v>
      </c>
      <c r="S43">
        <f t="shared" si="13"/>
        <v>268</v>
      </c>
    </row>
    <row r="44" spans="2:19" x14ac:dyDescent="0.15">
      <c r="B44">
        <v>40</v>
      </c>
      <c r="C44">
        <f t="shared" si="0"/>
        <v>2.8797932657906435</v>
      </c>
      <c r="D44">
        <f t="shared" si="1"/>
        <v>6.6987298107780813E-2</v>
      </c>
      <c r="E44">
        <f t="shared" si="2"/>
        <v>-0.74999999999999967</v>
      </c>
      <c r="F44">
        <f t="shared" si="3"/>
        <v>0.73168886887382112</v>
      </c>
      <c r="G44">
        <f t="shared" si="4"/>
        <v>-0.6816387600233339</v>
      </c>
      <c r="H44">
        <v>256</v>
      </c>
      <c r="I44">
        <v>80</v>
      </c>
      <c r="J44">
        <f t="shared" si="5"/>
        <v>0.76666666666666661</v>
      </c>
      <c r="K44">
        <v>192</v>
      </c>
      <c r="L44">
        <f t="shared" si="6"/>
        <v>11.679542915176228</v>
      </c>
      <c r="M44">
        <f t="shared" si="7"/>
        <v>307.60807291213933</v>
      </c>
      <c r="N44">
        <f t="shared" si="8"/>
        <v>-116.34999809790213</v>
      </c>
      <c r="O44">
        <f t="shared" si="9"/>
        <v>170.17781580192596</v>
      </c>
      <c r="P44">
        <f t="shared" si="10"/>
        <v>244</v>
      </c>
      <c r="Q44">
        <f t="shared" si="11"/>
        <v>-228</v>
      </c>
      <c r="R44">
        <f t="shared" si="12"/>
        <v>-117</v>
      </c>
      <c r="S44">
        <f t="shared" si="13"/>
        <v>277</v>
      </c>
    </row>
    <row r="45" spans="2:19" x14ac:dyDescent="0.15">
      <c r="B45">
        <v>41</v>
      </c>
      <c r="C45">
        <f t="shared" si="0"/>
        <v>2.9321531433504733</v>
      </c>
      <c r="D45">
        <f t="shared" si="1"/>
        <v>4.3227271178699719E-2</v>
      </c>
      <c r="E45">
        <f t="shared" si="2"/>
        <v>-0.79115357383037288</v>
      </c>
      <c r="F45">
        <f t="shared" si="3"/>
        <v>0.70302540257370383</v>
      </c>
      <c r="G45">
        <f t="shared" si="4"/>
        <v>-0.71116473712922634</v>
      </c>
      <c r="H45">
        <v>256</v>
      </c>
      <c r="I45">
        <v>80</v>
      </c>
      <c r="J45">
        <f t="shared" si="5"/>
        <v>0.77833333333333332</v>
      </c>
      <c r="K45">
        <v>192</v>
      </c>
      <c r="L45">
        <f t="shared" si="6"/>
        <v>24.76937508496593</v>
      </c>
      <c r="M45">
        <f t="shared" si="7"/>
        <v>313.90771653757849</v>
      </c>
      <c r="N45">
        <f t="shared" si="8"/>
        <v>-106.80371546742199</v>
      </c>
      <c r="O45">
        <f t="shared" si="9"/>
        <v>183.84049002287185</v>
      </c>
      <c r="P45">
        <f t="shared" si="10"/>
        <v>231</v>
      </c>
      <c r="Q45">
        <f t="shared" si="11"/>
        <v>-234</v>
      </c>
      <c r="R45">
        <f t="shared" si="12"/>
        <v>-107</v>
      </c>
      <c r="S45">
        <f t="shared" si="13"/>
        <v>283</v>
      </c>
    </row>
    <row r="46" spans="2:19" x14ac:dyDescent="0.15">
      <c r="B46">
        <v>42</v>
      </c>
      <c r="C46">
        <f t="shared" si="0"/>
        <v>2.9845130209103035</v>
      </c>
      <c r="D46">
        <f t="shared" si="1"/>
        <v>2.4471741852423248E-2</v>
      </c>
      <c r="E46">
        <f t="shared" si="2"/>
        <v>-0.82363910354633185</v>
      </c>
      <c r="F46">
        <f t="shared" si="3"/>
        <v>0.67955598043024745</v>
      </c>
      <c r="G46">
        <f t="shared" si="4"/>
        <v>-0.73362365655796924</v>
      </c>
      <c r="H46">
        <v>256</v>
      </c>
      <c r="I46">
        <v>80</v>
      </c>
      <c r="J46">
        <f t="shared" si="5"/>
        <v>0.78999999999999992</v>
      </c>
      <c r="K46">
        <v>192</v>
      </c>
      <c r="L46">
        <f t="shared" si="6"/>
        <v>35.78945444285651</v>
      </c>
      <c r="M46">
        <f t="shared" si="7"/>
        <v>317.73121022637991</v>
      </c>
      <c r="N46">
        <f t="shared" si="8"/>
        <v>-97.934351309482196</v>
      </c>
      <c r="O46">
        <f t="shared" si="9"/>
        <v>193.86277835048668</v>
      </c>
      <c r="P46">
        <f t="shared" si="10"/>
        <v>220</v>
      </c>
      <c r="Q46">
        <f t="shared" si="11"/>
        <v>-238</v>
      </c>
      <c r="R46">
        <f t="shared" si="12"/>
        <v>-98</v>
      </c>
      <c r="S46">
        <f t="shared" si="13"/>
        <v>288</v>
      </c>
    </row>
    <row r="47" spans="2:19" x14ac:dyDescent="0.15">
      <c r="B47">
        <v>43</v>
      </c>
      <c r="C47">
        <f t="shared" si="0"/>
        <v>3.0368728984701332</v>
      </c>
      <c r="D47">
        <f t="shared" si="1"/>
        <v>1.0926199633097235E-2</v>
      </c>
      <c r="E47">
        <f t="shared" si="2"/>
        <v>-0.84710067088627383</v>
      </c>
      <c r="F47">
        <f t="shared" si="3"/>
        <v>0.66215857804117773</v>
      </c>
      <c r="G47">
        <f t="shared" si="4"/>
        <v>-0.74936374180132681</v>
      </c>
      <c r="H47">
        <v>256</v>
      </c>
      <c r="I47">
        <v>80</v>
      </c>
      <c r="J47">
        <f t="shared" si="5"/>
        <v>0.80166666666666653</v>
      </c>
      <c r="K47">
        <v>192</v>
      </c>
      <c r="L47">
        <f t="shared" si="6"/>
        <v>44.549776326143615</v>
      </c>
      <c r="M47">
        <f t="shared" si="7"/>
        <v>319.29786016774182</v>
      </c>
      <c r="N47">
        <f t="shared" si="8"/>
        <v>-90.055270018211161</v>
      </c>
      <c r="O47">
        <f t="shared" si="9"/>
        <v>200.35710935119761</v>
      </c>
      <c r="P47">
        <f t="shared" si="10"/>
        <v>211</v>
      </c>
      <c r="Q47">
        <f t="shared" si="11"/>
        <v>-240</v>
      </c>
      <c r="R47">
        <f t="shared" si="12"/>
        <v>-91</v>
      </c>
      <c r="S47">
        <f t="shared" si="13"/>
        <v>292</v>
      </c>
    </row>
    <row r="48" spans="2:19" x14ac:dyDescent="0.15">
      <c r="B48">
        <v>44</v>
      </c>
      <c r="C48">
        <f t="shared" si="0"/>
        <v>3.0892327760299629</v>
      </c>
      <c r="D48">
        <f t="shared" si="1"/>
        <v>2.7390523158633755E-3</v>
      </c>
      <c r="E48">
        <f t="shared" si="2"/>
        <v>-0.8612812260087741</v>
      </c>
      <c r="F48">
        <f t="shared" si="3"/>
        <v>0.65146596532650602</v>
      </c>
      <c r="G48">
        <f t="shared" si="4"/>
        <v>-0.75867786050550046</v>
      </c>
      <c r="H48">
        <v>256</v>
      </c>
      <c r="I48">
        <v>80</v>
      </c>
      <c r="J48">
        <f t="shared" si="5"/>
        <v>0.81333333333333324</v>
      </c>
      <c r="K48">
        <v>192</v>
      </c>
      <c r="L48">
        <f t="shared" si="6"/>
        <v>50.948417471001363</v>
      </c>
      <c r="M48">
        <f t="shared" si="7"/>
        <v>318.79696592960016</v>
      </c>
      <c r="N48">
        <f t="shared" si="8"/>
        <v>-83.374875864398717</v>
      </c>
      <c r="O48">
        <f t="shared" si="9"/>
        <v>203.45545075703842</v>
      </c>
      <c r="P48">
        <f t="shared" si="10"/>
        <v>205</v>
      </c>
      <c r="Q48">
        <f t="shared" si="11"/>
        <v>-239</v>
      </c>
      <c r="R48">
        <f t="shared" si="12"/>
        <v>-84</v>
      </c>
      <c r="S48">
        <f t="shared" si="13"/>
        <v>293</v>
      </c>
    </row>
    <row r="49" spans="2:19" x14ac:dyDescent="0.15">
      <c r="B49">
        <v>45</v>
      </c>
      <c r="C49">
        <f t="shared" si="0"/>
        <v>3.1415926535897931</v>
      </c>
      <c r="D49">
        <f t="shared" si="1"/>
        <v>1.5009887365649789E-32</v>
      </c>
      <c r="E49">
        <f t="shared" si="2"/>
        <v>-0.8660254037844386</v>
      </c>
      <c r="F49">
        <f t="shared" si="3"/>
        <v>0.647859344852457</v>
      </c>
      <c r="G49">
        <f t="shared" si="4"/>
        <v>-0.7617599814162892</v>
      </c>
      <c r="H49">
        <v>256</v>
      </c>
      <c r="I49">
        <v>80</v>
      </c>
      <c r="J49">
        <f t="shared" si="5"/>
        <v>0.82499999999999996</v>
      </c>
      <c r="K49">
        <v>192</v>
      </c>
      <c r="L49">
        <f t="shared" si="6"/>
        <v>54.967282082146653</v>
      </c>
      <c r="M49">
        <f t="shared" si="7"/>
        <v>316.37643059705459</v>
      </c>
      <c r="N49">
        <f t="shared" si="8"/>
        <v>-77.994460128696574</v>
      </c>
      <c r="O49">
        <f t="shared" si="9"/>
        <v>203.29552676826211</v>
      </c>
      <c r="P49">
        <f t="shared" si="10"/>
        <v>201</v>
      </c>
      <c r="Q49">
        <f t="shared" si="11"/>
        <v>-237</v>
      </c>
      <c r="R49">
        <f t="shared" si="12"/>
        <v>-78</v>
      </c>
      <c r="S49">
        <f t="shared" si="13"/>
        <v>293</v>
      </c>
    </row>
    <row r="50" spans="2:19" x14ac:dyDescent="0.15">
      <c r="B50">
        <v>46</v>
      </c>
      <c r="C50">
        <f t="shared" si="0"/>
        <v>3.1939525311496229</v>
      </c>
      <c r="D50">
        <f t="shared" si="1"/>
        <v>2.7390523158633026E-3</v>
      </c>
      <c r="E50">
        <f t="shared" si="2"/>
        <v>-0.86128122600877421</v>
      </c>
      <c r="F50">
        <f t="shared" si="3"/>
        <v>0.65146596532650591</v>
      </c>
      <c r="G50">
        <f t="shared" si="4"/>
        <v>-0.75867786050550057</v>
      </c>
      <c r="H50">
        <v>256</v>
      </c>
      <c r="I50">
        <v>80</v>
      </c>
      <c r="J50">
        <f t="shared" si="5"/>
        <v>0.83666666666666667</v>
      </c>
      <c r="K50">
        <v>192</v>
      </c>
      <c r="L50">
        <f t="shared" si="6"/>
        <v>56.666987501690613</v>
      </c>
      <c r="M50">
        <f t="shared" si="7"/>
        <v>312.13728958893404</v>
      </c>
      <c r="N50">
        <f t="shared" si="8"/>
        <v>-73.91023789208478</v>
      </c>
      <c r="O50">
        <f t="shared" si="9"/>
        <v>200.01247005863502</v>
      </c>
      <c r="P50">
        <f t="shared" si="10"/>
        <v>199</v>
      </c>
      <c r="Q50">
        <f t="shared" si="11"/>
        <v>-233</v>
      </c>
      <c r="R50">
        <f t="shared" si="12"/>
        <v>-74</v>
      </c>
      <c r="S50">
        <f t="shared" si="13"/>
        <v>292</v>
      </c>
    </row>
    <row r="51" spans="2:19" x14ac:dyDescent="0.15">
      <c r="B51">
        <v>47</v>
      </c>
      <c r="C51">
        <f t="shared" si="0"/>
        <v>3.246312408709453</v>
      </c>
      <c r="D51">
        <f t="shared" si="1"/>
        <v>1.0926199633097187E-2</v>
      </c>
      <c r="E51">
        <f t="shared" si="2"/>
        <v>-0.84710067088627383</v>
      </c>
      <c r="F51">
        <f t="shared" si="3"/>
        <v>0.66215857804117773</v>
      </c>
      <c r="G51">
        <f t="shared" si="4"/>
        <v>-0.74936374180132681</v>
      </c>
      <c r="H51">
        <v>256</v>
      </c>
      <c r="I51">
        <v>80</v>
      </c>
      <c r="J51">
        <f t="shared" si="5"/>
        <v>0.84833333333333338</v>
      </c>
      <c r="K51">
        <v>192</v>
      </c>
      <c r="L51">
        <f t="shared" si="6"/>
        <v>56.181615742387237</v>
      </c>
      <c r="M51">
        <f t="shared" si="7"/>
        <v>306.13412719191314</v>
      </c>
      <c r="N51">
        <f t="shared" si="8"/>
        <v>-71.018830803063906</v>
      </c>
      <c r="O51">
        <f t="shared" si="9"/>
        <v>193.73628604700596</v>
      </c>
      <c r="P51">
        <f t="shared" si="10"/>
        <v>199</v>
      </c>
      <c r="Q51">
        <f t="shared" si="11"/>
        <v>-227</v>
      </c>
      <c r="R51">
        <f t="shared" si="12"/>
        <v>-72</v>
      </c>
      <c r="S51">
        <f t="shared" si="13"/>
        <v>288</v>
      </c>
    </row>
    <row r="52" spans="2:19" x14ac:dyDescent="0.15">
      <c r="B52">
        <v>48</v>
      </c>
      <c r="C52">
        <f t="shared" si="0"/>
        <v>3.2986722862692828</v>
      </c>
      <c r="D52">
        <f t="shared" si="1"/>
        <v>2.4471741852423172E-2</v>
      </c>
      <c r="E52">
        <f t="shared" si="2"/>
        <v>-0.82363910354633196</v>
      </c>
      <c r="F52">
        <f t="shared" si="3"/>
        <v>0.67955598043024734</v>
      </c>
      <c r="G52">
        <f t="shared" si="4"/>
        <v>-0.73362365655796935</v>
      </c>
      <c r="H52">
        <v>256</v>
      </c>
      <c r="I52">
        <v>80</v>
      </c>
      <c r="J52">
        <f t="shared" si="5"/>
        <v>0.85999999999999988</v>
      </c>
      <c r="K52">
        <v>192</v>
      </c>
      <c r="L52">
        <f t="shared" si="6"/>
        <v>53.713568616112383</v>
      </c>
      <c r="M52">
        <f t="shared" si="7"/>
        <v>298.38099544051181</v>
      </c>
      <c r="N52">
        <f t="shared" si="8"/>
        <v>-69.125741319175532</v>
      </c>
      <c r="O52">
        <f t="shared" si="9"/>
        <v>184.59487778707501</v>
      </c>
      <c r="P52">
        <f t="shared" si="10"/>
        <v>202</v>
      </c>
      <c r="Q52">
        <f t="shared" si="11"/>
        <v>-219</v>
      </c>
      <c r="R52">
        <f t="shared" si="12"/>
        <v>-70</v>
      </c>
      <c r="S52">
        <f t="shared" si="13"/>
        <v>284</v>
      </c>
    </row>
    <row r="53" spans="2:19" x14ac:dyDescent="0.15">
      <c r="B53">
        <v>49</v>
      </c>
      <c r="C53">
        <f t="shared" si="0"/>
        <v>3.3510321638291125</v>
      </c>
      <c r="D53">
        <f t="shared" si="1"/>
        <v>4.3227271178699442E-2</v>
      </c>
      <c r="E53">
        <f t="shared" si="2"/>
        <v>-0.79115357383037332</v>
      </c>
      <c r="F53">
        <f t="shared" si="3"/>
        <v>0.7030254025737035</v>
      </c>
      <c r="G53">
        <f t="shared" si="4"/>
        <v>-0.71116473712922668</v>
      </c>
      <c r="H53">
        <v>256</v>
      </c>
      <c r="I53">
        <v>80</v>
      </c>
      <c r="J53">
        <f t="shared" si="5"/>
        <v>0.87166666666666659</v>
      </c>
      <c r="K53">
        <v>192</v>
      </c>
      <c r="L53">
        <f t="shared" si="6"/>
        <v>49.52829476994097</v>
      </c>
      <c r="M53">
        <f t="shared" si="7"/>
        <v>288.86214841883213</v>
      </c>
      <c r="N53">
        <f t="shared" si="8"/>
        <v>-67.956663715652141</v>
      </c>
      <c r="O53">
        <f t="shared" si="9"/>
        <v>172.72181422692393</v>
      </c>
      <c r="P53">
        <f t="shared" si="10"/>
        <v>206</v>
      </c>
      <c r="Q53">
        <f t="shared" si="11"/>
        <v>-209</v>
      </c>
      <c r="R53">
        <f t="shared" si="12"/>
        <v>-68</v>
      </c>
      <c r="S53">
        <f t="shared" si="13"/>
        <v>278</v>
      </c>
    </row>
    <row r="54" spans="2:19" x14ac:dyDescent="0.15">
      <c r="B54">
        <v>50</v>
      </c>
      <c r="C54">
        <f t="shared" si="0"/>
        <v>3.4033920413889427</v>
      </c>
      <c r="D54">
        <f t="shared" si="1"/>
        <v>6.6987298107780688E-2</v>
      </c>
      <c r="E54">
        <f t="shared" si="2"/>
        <v>-0.74999999999999989</v>
      </c>
      <c r="F54">
        <f t="shared" si="3"/>
        <v>0.73168886887382101</v>
      </c>
      <c r="G54">
        <f t="shared" si="4"/>
        <v>-0.68163876002333412</v>
      </c>
      <c r="H54">
        <v>256</v>
      </c>
      <c r="I54">
        <v>80</v>
      </c>
      <c r="J54">
        <f t="shared" si="5"/>
        <v>0.8833333333333333</v>
      </c>
      <c r="K54">
        <v>192</v>
      </c>
      <c r="L54">
        <f t="shared" si="6"/>
        <v>43.948282530152994</v>
      </c>
      <c r="M54">
        <f t="shared" si="7"/>
        <v>277.54662931997007</v>
      </c>
      <c r="N54">
        <f t="shared" si="8"/>
        <v>-67.171696462330161</v>
      </c>
      <c r="O54">
        <f t="shared" si="9"/>
        <v>158.26753824318112</v>
      </c>
      <c r="P54">
        <f t="shared" si="10"/>
        <v>212</v>
      </c>
      <c r="Q54">
        <f t="shared" si="11"/>
        <v>-198</v>
      </c>
      <c r="R54">
        <f t="shared" si="12"/>
        <v>-68</v>
      </c>
      <c r="S54">
        <f t="shared" si="13"/>
        <v>271</v>
      </c>
    </row>
    <row r="55" spans="2:19" x14ac:dyDescent="0.15">
      <c r="B55">
        <v>51</v>
      </c>
      <c r="C55">
        <f t="shared" si="0"/>
        <v>3.4557519189487724</v>
      </c>
      <c r="D55">
        <f t="shared" si="1"/>
        <v>9.5491502812526205E-2</v>
      </c>
      <c r="E55">
        <f t="shared" si="2"/>
        <v>-0.70062926922203683</v>
      </c>
      <c r="F55">
        <f t="shared" si="3"/>
        <v>0.76443664951736656</v>
      </c>
      <c r="G55">
        <f t="shared" si="4"/>
        <v>-0.64469885130552451</v>
      </c>
      <c r="H55">
        <v>256</v>
      </c>
      <c r="I55">
        <v>80</v>
      </c>
      <c r="J55">
        <f t="shared" si="5"/>
        <v>0.89500000000000002</v>
      </c>
      <c r="K55">
        <v>192</v>
      </c>
      <c r="L55">
        <f t="shared" si="6"/>
        <v>37.345494663189015</v>
      </c>
      <c r="M55">
        <f t="shared" si="7"/>
        <v>264.4054814907422</v>
      </c>
      <c r="N55">
        <f t="shared" si="8"/>
        <v>-66.382588675353475</v>
      </c>
      <c r="O55">
        <f t="shared" si="9"/>
        <v>141.41232223878603</v>
      </c>
      <c r="P55">
        <f t="shared" si="10"/>
        <v>218</v>
      </c>
      <c r="Q55">
        <f t="shared" si="11"/>
        <v>-185</v>
      </c>
      <c r="R55">
        <f t="shared" si="12"/>
        <v>-67</v>
      </c>
      <c r="S55">
        <f t="shared" si="13"/>
        <v>262</v>
      </c>
    </row>
    <row r="56" spans="2:19" x14ac:dyDescent="0.15">
      <c r="B56">
        <v>52</v>
      </c>
      <c r="C56">
        <f t="shared" si="0"/>
        <v>3.5081117965086026</v>
      </c>
      <c r="D56">
        <f t="shared" si="1"/>
        <v>0.12842758726130299</v>
      </c>
      <c r="E56">
        <f t="shared" si="2"/>
        <v>-0.64358229755437635</v>
      </c>
      <c r="F56">
        <f t="shared" si="3"/>
        <v>0.79995128410675242</v>
      </c>
      <c r="G56">
        <f t="shared" si="4"/>
        <v>-0.60006494903131768</v>
      </c>
      <c r="H56">
        <v>256</v>
      </c>
      <c r="I56">
        <v>80</v>
      </c>
      <c r="J56">
        <f t="shared" si="5"/>
        <v>0.90666666666666673</v>
      </c>
      <c r="K56">
        <v>192</v>
      </c>
      <c r="L56">
        <f t="shared" si="6"/>
        <v>30.131402134564041</v>
      </c>
      <c r="M56">
        <f t="shared" si="7"/>
        <v>249.43010325590146</v>
      </c>
      <c r="N56">
        <f t="shared" si="8"/>
        <v>-65.173030946880516</v>
      </c>
      <c r="O56">
        <f t="shared" si="9"/>
        <v>122.37901695659373</v>
      </c>
      <c r="P56">
        <f t="shared" si="10"/>
        <v>225</v>
      </c>
      <c r="Q56">
        <f t="shared" si="11"/>
        <v>-170</v>
      </c>
      <c r="R56">
        <f t="shared" si="12"/>
        <v>-66</v>
      </c>
      <c r="S56">
        <f t="shared" si="13"/>
        <v>253</v>
      </c>
    </row>
    <row r="57" spans="2:19" x14ac:dyDescent="0.15">
      <c r="B57">
        <v>53</v>
      </c>
      <c r="C57">
        <f t="shared" si="0"/>
        <v>3.5604716740684323</v>
      </c>
      <c r="D57">
        <f t="shared" si="1"/>
        <v>0.16543469682057088</v>
      </c>
      <c r="E57">
        <f t="shared" si="2"/>
        <v>-0.57948410355645641</v>
      </c>
      <c r="F57">
        <f t="shared" si="3"/>
        <v>0.83674526219070833</v>
      </c>
      <c r="G57">
        <f t="shared" si="4"/>
        <v>-0.54759233577671884</v>
      </c>
      <c r="H57">
        <v>256</v>
      </c>
      <c r="I57">
        <v>80</v>
      </c>
      <c r="J57">
        <f t="shared" si="5"/>
        <v>0.91833333333333322</v>
      </c>
      <c r="K57">
        <v>192</v>
      </c>
      <c r="L57">
        <f t="shared" si="6"/>
        <v>22.74397046734515</v>
      </c>
      <c r="M57">
        <f t="shared" si="7"/>
        <v>232.6500594833104</v>
      </c>
      <c r="N57">
        <f t="shared" si="8"/>
        <v>-63.121687992016945</v>
      </c>
      <c r="O57">
        <f t="shared" si="9"/>
        <v>101.44354287119205</v>
      </c>
      <c r="P57">
        <f t="shared" si="10"/>
        <v>233</v>
      </c>
      <c r="Q57">
        <f t="shared" si="11"/>
        <v>-153</v>
      </c>
      <c r="R57">
        <f t="shared" si="12"/>
        <v>-64</v>
      </c>
      <c r="S57">
        <f t="shared" si="13"/>
        <v>242</v>
      </c>
    </row>
    <row r="58" spans="2:19" x14ac:dyDescent="0.15">
      <c r="B58">
        <v>54</v>
      </c>
      <c r="C58">
        <f t="shared" si="0"/>
        <v>3.6128315516282621</v>
      </c>
      <c r="D58">
        <f t="shared" si="1"/>
        <v>0.20610737385376335</v>
      </c>
      <c r="E58">
        <f t="shared" si="2"/>
        <v>-0.50903696045512736</v>
      </c>
      <c r="F58">
        <f t="shared" si="3"/>
        <v>0.87321423685543031</v>
      </c>
      <c r="G58">
        <f t="shared" si="4"/>
        <v>-0.48733653316059578</v>
      </c>
      <c r="H58">
        <v>256</v>
      </c>
      <c r="I58">
        <v>80</v>
      </c>
      <c r="J58">
        <f t="shared" si="5"/>
        <v>0.92999999999999994</v>
      </c>
      <c r="K58">
        <v>192</v>
      </c>
      <c r="L58">
        <f t="shared" si="6"/>
        <v>15.631349854849276</v>
      </c>
      <c r="M58">
        <f t="shared" si="7"/>
        <v>214.14855106356185</v>
      </c>
      <c r="N58">
        <f t="shared" si="8"/>
        <v>-59.827210118404267</v>
      </c>
      <c r="O58">
        <f t="shared" si="9"/>
        <v>78.941185356914559</v>
      </c>
      <c r="P58">
        <f t="shared" si="10"/>
        <v>240</v>
      </c>
      <c r="Q58">
        <f t="shared" si="11"/>
        <v>-135</v>
      </c>
      <c r="R58">
        <f t="shared" si="12"/>
        <v>-60</v>
      </c>
      <c r="S58">
        <f t="shared" si="13"/>
        <v>231</v>
      </c>
    </row>
    <row r="59" spans="2:19" x14ac:dyDescent="0.15">
      <c r="B59">
        <v>55</v>
      </c>
      <c r="C59">
        <f t="shared" si="0"/>
        <v>3.6651914291880923</v>
      </c>
      <c r="D59">
        <f t="shared" si="1"/>
        <v>0.25000000000000011</v>
      </c>
      <c r="E59">
        <f t="shared" si="2"/>
        <v>-0.43301270189221913</v>
      </c>
      <c r="F59">
        <f t="shared" si="3"/>
        <v>0.90770571906660835</v>
      </c>
      <c r="G59">
        <f t="shared" si="4"/>
        <v>-0.41960734928474669</v>
      </c>
      <c r="H59">
        <v>256</v>
      </c>
      <c r="I59">
        <v>80</v>
      </c>
      <c r="J59">
        <f t="shared" si="5"/>
        <v>0.94166666666666665</v>
      </c>
      <c r="K59">
        <v>192</v>
      </c>
      <c r="L59">
        <f t="shared" si="6"/>
        <v>9.2325691174671647</v>
      </c>
      <c r="M59">
        <f t="shared" si="7"/>
        <v>194.07378557546389</v>
      </c>
      <c r="N59">
        <f t="shared" si="8"/>
        <v>-54.933935268731261</v>
      </c>
      <c r="O59">
        <f t="shared" si="9"/>
        <v>55.267105704039182</v>
      </c>
      <c r="P59">
        <f t="shared" si="10"/>
        <v>246</v>
      </c>
      <c r="Q59">
        <f t="shared" si="11"/>
        <v>-115</v>
      </c>
      <c r="R59">
        <f t="shared" si="12"/>
        <v>-55</v>
      </c>
      <c r="S59">
        <f t="shared" si="13"/>
        <v>219</v>
      </c>
    </row>
    <row r="60" spans="2:19" x14ac:dyDescent="0.15">
      <c r="B60">
        <v>56</v>
      </c>
      <c r="C60">
        <f t="shared" si="0"/>
        <v>3.717551306747922</v>
      </c>
      <c r="D60">
        <f t="shared" si="1"/>
        <v>0.29663167846209992</v>
      </c>
      <c r="E60">
        <f t="shared" si="2"/>
        <v>-0.35224426555364691</v>
      </c>
      <c r="F60">
        <f t="shared" si="3"/>
        <v>0.93860079407431984</v>
      </c>
      <c r="G60">
        <f t="shared" si="4"/>
        <v>-0.34500514396608106</v>
      </c>
      <c r="H60">
        <v>256</v>
      </c>
      <c r="I60">
        <v>80</v>
      </c>
      <c r="J60">
        <f t="shared" si="5"/>
        <v>0.95333333333333337</v>
      </c>
      <c r="K60">
        <v>192</v>
      </c>
      <c r="L60">
        <f t="shared" si="6"/>
        <v>3.9561504024204055</v>
      </c>
      <c r="M60">
        <f t="shared" si="7"/>
        <v>172.64473796012248</v>
      </c>
      <c r="N60">
        <f t="shared" si="8"/>
        <v>-48.156514700148485</v>
      </c>
      <c r="O60">
        <f t="shared" si="9"/>
        <v>30.870072561483966</v>
      </c>
      <c r="P60">
        <f t="shared" si="10"/>
        <v>252</v>
      </c>
      <c r="Q60">
        <f t="shared" si="11"/>
        <v>-93</v>
      </c>
      <c r="R60">
        <f t="shared" si="12"/>
        <v>-49</v>
      </c>
      <c r="S60">
        <f t="shared" si="13"/>
        <v>207</v>
      </c>
    </row>
    <row r="61" spans="2:19" x14ac:dyDescent="0.15">
      <c r="B61">
        <v>57</v>
      </c>
      <c r="C61">
        <f t="shared" si="0"/>
        <v>3.7699111843077517</v>
      </c>
      <c r="D61">
        <f t="shared" si="1"/>
        <v>0.34549150281252616</v>
      </c>
      <c r="E61">
        <f t="shared" si="2"/>
        <v>-0.26761656732981765</v>
      </c>
      <c r="F61">
        <f t="shared" si="3"/>
        <v>0.96440389471426236</v>
      </c>
      <c r="G61">
        <f t="shared" si="4"/>
        <v>-0.26443359820560236</v>
      </c>
      <c r="H61">
        <v>256</v>
      </c>
      <c r="I61">
        <v>80</v>
      </c>
      <c r="J61">
        <f t="shared" si="5"/>
        <v>0.96499999999999986</v>
      </c>
      <c r="K61">
        <v>192</v>
      </c>
      <c r="L61">
        <f t="shared" si="6"/>
        <v>0.15813777528373407</v>
      </c>
      <c r="M61">
        <f t="shared" si="7"/>
        <v>150.15026024936188</v>
      </c>
      <c r="N61">
        <f t="shared" si="8"/>
        <v>-39.301383614982321</v>
      </c>
      <c r="O61">
        <f t="shared" si="9"/>
        <v>6.2392127479589874</v>
      </c>
      <c r="P61">
        <f t="shared" si="10"/>
        <v>255</v>
      </c>
      <c r="Q61">
        <f t="shared" si="11"/>
        <v>-71</v>
      </c>
      <c r="R61">
        <f t="shared" si="12"/>
        <v>-40</v>
      </c>
      <c r="S61">
        <f t="shared" si="13"/>
        <v>195</v>
      </c>
    </row>
    <row r="62" spans="2:19" x14ac:dyDescent="0.15">
      <c r="B62">
        <v>58</v>
      </c>
      <c r="C62">
        <f t="shared" si="0"/>
        <v>3.8222710618675819</v>
      </c>
      <c r="D62">
        <f t="shared" si="1"/>
        <v>0.39604415459112052</v>
      </c>
      <c r="E62">
        <f t="shared" si="2"/>
        <v>-0.18005680599195506</v>
      </c>
      <c r="F62">
        <f t="shared" si="3"/>
        <v>0.98383352124822632</v>
      </c>
      <c r="G62">
        <f t="shared" si="4"/>
        <v>-0.17908546135383455</v>
      </c>
      <c r="H62">
        <v>256</v>
      </c>
      <c r="I62">
        <v>80</v>
      </c>
      <c r="J62">
        <f t="shared" si="5"/>
        <v>0.97666666666666657</v>
      </c>
      <c r="K62">
        <v>192</v>
      </c>
      <c r="L62">
        <f t="shared" si="6"/>
        <v>-1.8785475490231534</v>
      </c>
      <c r="M62">
        <f t="shared" si="7"/>
        <v>126.94117212277985</v>
      </c>
      <c r="N62">
        <f t="shared" si="8"/>
        <v>-28.282956868086817</v>
      </c>
      <c r="O62">
        <f t="shared" si="9"/>
        <v>-18.115510873545674</v>
      </c>
      <c r="P62">
        <f t="shared" si="10"/>
        <v>257</v>
      </c>
      <c r="Q62">
        <f t="shared" si="11"/>
        <v>-47</v>
      </c>
      <c r="R62">
        <f t="shared" si="12"/>
        <v>-29</v>
      </c>
      <c r="S62">
        <f t="shared" si="13"/>
        <v>182</v>
      </c>
    </row>
    <row r="63" spans="2:19" x14ac:dyDescent="0.15">
      <c r="B63">
        <v>59</v>
      </c>
      <c r="C63">
        <f t="shared" si="0"/>
        <v>3.8746309394274117</v>
      </c>
      <c r="D63">
        <f t="shared" si="1"/>
        <v>0.44773576836617329</v>
      </c>
      <c r="E63">
        <f t="shared" si="2"/>
        <v>-9.0524304608336409E-2</v>
      </c>
      <c r="F63">
        <f t="shared" si="3"/>
        <v>0.99590547238524751</v>
      </c>
      <c r="G63">
        <f t="shared" si="4"/>
        <v>-9.0400719428094134E-2</v>
      </c>
      <c r="H63">
        <v>256</v>
      </c>
      <c r="I63">
        <v>80</v>
      </c>
      <c r="J63">
        <f t="shared" si="5"/>
        <v>0.98833333333333329</v>
      </c>
      <c r="K63">
        <v>192</v>
      </c>
      <c r="L63">
        <f t="shared" si="6"/>
        <v>-1.9613500141214786</v>
      </c>
      <c r="M63">
        <f t="shared" si="7"/>
        <v>103.41576813516907</v>
      </c>
      <c r="N63">
        <f t="shared" si="8"/>
        <v>-15.132719590154082</v>
      </c>
      <c r="O63">
        <f t="shared" si="9"/>
        <v>-41.687491247774247</v>
      </c>
      <c r="P63">
        <f t="shared" si="10"/>
        <v>257</v>
      </c>
      <c r="Q63">
        <f t="shared" si="11"/>
        <v>-24</v>
      </c>
      <c r="R63">
        <f t="shared" si="12"/>
        <v>-16</v>
      </c>
      <c r="S63">
        <f t="shared" si="13"/>
        <v>171</v>
      </c>
    </row>
    <row r="64" spans="2:19" x14ac:dyDescent="0.15">
      <c r="B64">
        <v>60</v>
      </c>
      <c r="C64">
        <f t="shared" si="0"/>
        <v>3.926990816987241</v>
      </c>
      <c r="D64">
        <f t="shared" si="1"/>
        <v>0.49999999999999944</v>
      </c>
      <c r="E64">
        <f t="shared" si="2"/>
        <v>-9.6148134319178186E-16</v>
      </c>
      <c r="F64">
        <f t="shared" si="3"/>
        <v>1</v>
      </c>
      <c r="G64">
        <f t="shared" si="4"/>
        <v>-9.6148134319178186E-16</v>
      </c>
      <c r="H64">
        <v>256</v>
      </c>
      <c r="I64">
        <v>80</v>
      </c>
      <c r="J64">
        <f t="shared" si="5"/>
        <v>1</v>
      </c>
      <c r="K64">
        <v>192</v>
      </c>
      <c r="L64">
        <f t="shared" si="6"/>
        <v>0</v>
      </c>
      <c r="M64">
        <f t="shared" si="7"/>
        <v>80.000000000000242</v>
      </c>
      <c r="N64">
        <f t="shared" si="8"/>
        <v>-1.3845331341961658E-13</v>
      </c>
      <c r="O64">
        <f t="shared" si="9"/>
        <v>-63.999999999999758</v>
      </c>
      <c r="P64">
        <f t="shared" si="10"/>
        <v>256</v>
      </c>
      <c r="Q64">
        <f t="shared" si="11"/>
        <v>-1</v>
      </c>
      <c r="R64">
        <f t="shared" si="12"/>
        <v>-1</v>
      </c>
      <c r="S64">
        <f t="shared" si="13"/>
        <v>160</v>
      </c>
    </row>
  </sheetData>
  <mergeCells count="1">
    <mergeCell ref="H2:I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64"/>
  <sheetViews>
    <sheetView topLeftCell="F41" zoomScale="115" zoomScaleNormal="115" workbookViewId="0">
      <selection activeCell="L77" sqref="L77"/>
    </sheetView>
  </sheetViews>
  <sheetFormatPr defaultRowHeight="13.5" x14ac:dyDescent="0.15"/>
  <cols>
    <col min="1" max="1" width="3.25" customWidth="1"/>
    <col min="4" max="4" width="13.875" bestFit="1" customWidth="1"/>
    <col min="5" max="5" width="26.5" bestFit="1" customWidth="1"/>
    <col min="8" max="8" width="12.75" bestFit="1" customWidth="1"/>
    <col min="9" max="10" width="12.75" customWidth="1"/>
    <col min="17" max="17" width="13.875" bestFit="1" customWidth="1"/>
  </cols>
  <sheetData>
    <row r="1" spans="2:22" x14ac:dyDescent="0.15">
      <c r="B1" t="s">
        <v>28</v>
      </c>
    </row>
    <row r="2" spans="2:22" x14ac:dyDescent="0.15">
      <c r="H2" s="5" t="s">
        <v>31</v>
      </c>
      <c r="I2" s="5"/>
      <c r="J2" s="5"/>
      <c r="K2" s="5" t="s">
        <v>14</v>
      </c>
      <c r="L2" s="5"/>
      <c r="M2" s="2"/>
    </row>
    <row r="3" spans="2:22" x14ac:dyDescent="0.15">
      <c r="B3" t="s">
        <v>0</v>
      </c>
      <c r="C3" t="s">
        <v>24</v>
      </c>
      <c r="D3" t="s">
        <v>25</v>
      </c>
      <c r="E3" t="s">
        <v>34</v>
      </c>
      <c r="F3" t="s">
        <v>7</v>
      </c>
      <c r="G3" t="s">
        <v>2</v>
      </c>
      <c r="H3" t="s">
        <v>32</v>
      </c>
      <c r="I3" t="s">
        <v>33</v>
      </c>
      <c r="J3" t="s">
        <v>30</v>
      </c>
      <c r="M3" t="s">
        <v>29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3</v>
      </c>
      <c r="T3" t="s">
        <v>4</v>
      </c>
      <c r="U3" t="s">
        <v>5</v>
      </c>
      <c r="V3" t="s">
        <v>6</v>
      </c>
    </row>
    <row r="4" spans="2:22" x14ac:dyDescent="0.15">
      <c r="B4">
        <v>0</v>
      </c>
      <c r="C4">
        <f>2*PI()*B4/120+PI()/4</f>
        <v>0.78539816339744828</v>
      </c>
      <c r="D4">
        <f>POWER(SIN(C4),2)</f>
        <v>0.49999999999999989</v>
      </c>
      <c r="E4">
        <f>(D4-0.5)*SQRT(3)/2</f>
        <v>-9.6148134319178191E-17</v>
      </c>
      <c r="F4">
        <f>COS(E4)</f>
        <v>1</v>
      </c>
      <c r="G4">
        <f>SIN(E4)</f>
        <v>-9.6148134319178191E-17</v>
      </c>
      <c r="H4">
        <f>ABS(SIN(C4*2))</f>
        <v>1</v>
      </c>
      <c r="I4">
        <f>(60-B4)*10/60</f>
        <v>10</v>
      </c>
      <c r="J4">
        <f>H4*B4*I4</f>
        <v>0</v>
      </c>
      <c r="K4">
        <v>256</v>
      </c>
      <c r="L4">
        <v>80</v>
      </c>
      <c r="M4">
        <f>(B4/60)*0.7+0.3</f>
        <v>0.3</v>
      </c>
      <c r="N4">
        <v>192</v>
      </c>
      <c r="O4">
        <f>K4-F4*256/M4</f>
        <v>-597.33333333333337</v>
      </c>
      <c r="P4">
        <f>L4-G4*256/M4</f>
        <v>80.000000000000085</v>
      </c>
      <c r="Q4">
        <f>O4+G4*144/M4-G4*J4</f>
        <v>-597.33333333333337</v>
      </c>
      <c r="R4">
        <f>P4-F4*144/M4+F4*J4</f>
        <v>-399.99999999999989</v>
      </c>
      <c r="S4">
        <f>INT(F4*256/M4)</f>
        <v>853</v>
      </c>
      <c r="T4">
        <f>INT(G4*256/M4)</f>
        <v>-1</v>
      </c>
      <c r="U4">
        <f>INT(Q4)</f>
        <v>-598</v>
      </c>
      <c r="V4">
        <f>INT(R4/2)+N4</f>
        <v>-8</v>
      </c>
    </row>
    <row r="5" spans="2:22" x14ac:dyDescent="0.15">
      <c r="B5">
        <v>1</v>
      </c>
      <c r="C5">
        <f t="shared" ref="C5:C64" si="0">2*PI()*B5/120+PI()/4</f>
        <v>0.83775804095727813</v>
      </c>
      <c r="D5">
        <f t="shared" ref="D5:D64" si="1">POWER(SIN(C5),2)</f>
        <v>0.55226423163382654</v>
      </c>
      <c r="E5">
        <f t="shared" ref="E5:E64" si="2">(D5-0.5)*SQRT(3)/2</f>
        <v>4.5262152304168059E-2</v>
      </c>
      <c r="F5">
        <f t="shared" ref="F5:F64" si="3">COS(E5)</f>
        <v>0.99897584364819536</v>
      </c>
      <c r="G5">
        <f t="shared" ref="G5:G64" si="4">SIN(E5)</f>
        <v>4.5246699408644474E-2</v>
      </c>
      <c r="H5">
        <f t="shared" ref="H5:H64" si="5">ABS(SIN(C5*2))</f>
        <v>0.9945218953682734</v>
      </c>
      <c r="I5">
        <f t="shared" ref="I5:I64" si="6">(60-B5)*10/60</f>
        <v>9.8333333333333339</v>
      </c>
      <c r="J5">
        <f t="shared" ref="J5:J64" si="7">H5*B5*I5</f>
        <v>9.7794653044546891</v>
      </c>
      <c r="K5">
        <v>256</v>
      </c>
      <c r="L5">
        <v>80</v>
      </c>
      <c r="M5">
        <f t="shared" ref="M5:M64" si="8">(B5/60)*0.7+0.3</f>
        <v>0.31166666666666665</v>
      </c>
      <c r="N5">
        <v>192</v>
      </c>
      <c r="O5">
        <f t="shared" ref="O5:O64" si="9">K5-F5*256/M5</f>
        <v>-564.54914216236796</v>
      </c>
      <c r="P5">
        <f t="shared" ref="P5:P64" si="10">L5-G5*256/M5</f>
        <v>42.834796635466354</v>
      </c>
      <c r="Q5">
        <f t="shared" ref="Q5:Q64" si="11">O5+G5*144/M5-G5*J5</f>
        <v>-544.08620379682577</v>
      </c>
      <c r="R5">
        <f t="shared" ref="R5:R64" si="12">P5-F5*144/M5+F5*J5</f>
        <v>-408.95464622791974</v>
      </c>
      <c r="S5">
        <f t="shared" ref="S5:S64" si="13">INT(F5*256/M5)</f>
        <v>820</v>
      </c>
      <c r="T5">
        <f t="shared" ref="T5:T64" si="14">INT(G5*256/M5)</f>
        <v>37</v>
      </c>
      <c r="U5">
        <f t="shared" ref="U5:U64" si="15">INT(Q5)</f>
        <v>-545</v>
      </c>
      <c r="V5">
        <f t="shared" ref="V5:V64" si="16">INT(R5/2)+N5</f>
        <v>-13</v>
      </c>
    </row>
    <row r="6" spans="2:22" x14ac:dyDescent="0.15">
      <c r="B6">
        <v>2</v>
      </c>
      <c r="C6">
        <f t="shared" si="0"/>
        <v>0.89011791851710809</v>
      </c>
      <c r="D6">
        <f t="shared" si="1"/>
        <v>0.6039558454088797</v>
      </c>
      <c r="E6">
        <f t="shared" si="2"/>
        <v>9.0028402995977724E-2</v>
      </c>
      <c r="F6">
        <f t="shared" si="3"/>
        <v>0.99595017979019063</v>
      </c>
      <c r="G6">
        <f t="shared" si="4"/>
        <v>8.9906837203223122E-2</v>
      </c>
      <c r="H6">
        <f t="shared" si="5"/>
        <v>0.97814760073380569</v>
      </c>
      <c r="I6">
        <f t="shared" si="6"/>
        <v>9.6666666666666661</v>
      </c>
      <c r="J6">
        <f t="shared" si="7"/>
        <v>18.910853614186909</v>
      </c>
      <c r="K6">
        <v>256</v>
      </c>
      <c r="L6">
        <v>80</v>
      </c>
      <c r="M6">
        <f t="shared" si="8"/>
        <v>0.32333333333333331</v>
      </c>
      <c r="N6">
        <v>192</v>
      </c>
      <c r="O6">
        <f t="shared" si="9"/>
        <v>-532.54612173079022</v>
      </c>
      <c r="P6">
        <f t="shared" si="10"/>
        <v>8.8160299256955028</v>
      </c>
      <c r="Q6">
        <f t="shared" si="11"/>
        <v>-494.20535360125859</v>
      </c>
      <c r="R6">
        <f t="shared" si="12"/>
        <v>-415.90689549083851</v>
      </c>
      <c r="S6">
        <f t="shared" si="13"/>
        <v>788</v>
      </c>
      <c r="T6">
        <f t="shared" si="14"/>
        <v>71</v>
      </c>
      <c r="U6">
        <f t="shared" si="15"/>
        <v>-495</v>
      </c>
      <c r="V6">
        <f t="shared" si="16"/>
        <v>-16</v>
      </c>
    </row>
    <row r="7" spans="2:22" x14ac:dyDescent="0.15">
      <c r="B7">
        <v>3</v>
      </c>
      <c r="C7">
        <f t="shared" si="0"/>
        <v>0.94247779607693793</v>
      </c>
      <c r="D7">
        <f t="shared" si="1"/>
        <v>0.65450849718747373</v>
      </c>
      <c r="E7">
        <f t="shared" si="2"/>
        <v>0.13380828366490874</v>
      </c>
      <c r="F7">
        <f t="shared" si="3"/>
        <v>0.9910610210058366</v>
      </c>
      <c r="G7">
        <f t="shared" si="4"/>
        <v>0.13340934241224936</v>
      </c>
      <c r="H7">
        <f t="shared" si="5"/>
        <v>0.95105651629515364</v>
      </c>
      <c r="I7">
        <f t="shared" si="6"/>
        <v>9.5</v>
      </c>
      <c r="J7">
        <f t="shared" si="7"/>
        <v>27.105110714411879</v>
      </c>
      <c r="K7">
        <v>256</v>
      </c>
      <c r="L7">
        <v>80</v>
      </c>
      <c r="M7">
        <f t="shared" si="8"/>
        <v>0.33499999999999996</v>
      </c>
      <c r="N7">
        <v>192</v>
      </c>
      <c r="O7">
        <f t="shared" si="9"/>
        <v>-501.34812351490802</v>
      </c>
      <c r="P7">
        <f t="shared" si="10"/>
        <v>-21.948631813539819</v>
      </c>
      <c r="Q7">
        <f t="shared" si="11"/>
        <v>-447.61809311621278</v>
      </c>
      <c r="R7">
        <f t="shared" si="12"/>
        <v>-421.09413259157429</v>
      </c>
      <c r="S7">
        <f t="shared" si="13"/>
        <v>757</v>
      </c>
      <c r="T7">
        <f t="shared" si="14"/>
        <v>101</v>
      </c>
      <c r="U7">
        <f t="shared" si="15"/>
        <v>-448</v>
      </c>
      <c r="V7">
        <f t="shared" si="16"/>
        <v>-19</v>
      </c>
    </row>
    <row r="8" spans="2:22" x14ac:dyDescent="0.15">
      <c r="B8">
        <v>4</v>
      </c>
      <c r="C8">
        <f t="shared" si="0"/>
        <v>0.99483767363676778</v>
      </c>
      <c r="D8">
        <f t="shared" si="1"/>
        <v>0.70336832153789997</v>
      </c>
      <c r="E8">
        <f t="shared" si="2"/>
        <v>0.17612213277682337</v>
      </c>
      <c r="F8">
        <f t="shared" si="3"/>
        <v>0.98453054652314365</v>
      </c>
      <c r="G8">
        <f t="shared" si="4"/>
        <v>0.17521302167030872</v>
      </c>
      <c r="H8">
        <f t="shared" si="5"/>
        <v>0.91354545764260098</v>
      </c>
      <c r="I8">
        <f t="shared" si="6"/>
        <v>9.3333333333333339</v>
      </c>
      <c r="J8">
        <f t="shared" si="7"/>
        <v>34.105697085323769</v>
      </c>
      <c r="K8">
        <v>256</v>
      </c>
      <c r="L8">
        <v>80</v>
      </c>
      <c r="M8">
        <f t="shared" si="8"/>
        <v>0.34666666666666668</v>
      </c>
      <c r="N8">
        <v>192</v>
      </c>
      <c r="O8">
        <f t="shared" si="9"/>
        <v>-471.03794204785993</v>
      </c>
      <c r="P8">
        <f t="shared" si="10"/>
        <v>-49.388077541151063</v>
      </c>
      <c r="Q8">
        <f t="shared" si="11"/>
        <v>-404.23291067345428</v>
      </c>
      <c r="R8">
        <f t="shared" si="12"/>
        <v>-424.76881935210565</v>
      </c>
      <c r="S8">
        <f t="shared" si="13"/>
        <v>727</v>
      </c>
      <c r="T8">
        <f t="shared" si="14"/>
        <v>129</v>
      </c>
      <c r="U8">
        <f t="shared" si="15"/>
        <v>-405</v>
      </c>
      <c r="V8">
        <f t="shared" si="16"/>
        <v>-21</v>
      </c>
    </row>
    <row r="9" spans="2:22" x14ac:dyDescent="0.15">
      <c r="B9">
        <v>5</v>
      </c>
      <c r="C9">
        <f t="shared" si="0"/>
        <v>1.0471975511965976</v>
      </c>
      <c r="D9">
        <f t="shared" si="1"/>
        <v>0.74999999999999989</v>
      </c>
      <c r="E9">
        <f t="shared" si="2"/>
        <v>0.21650635094610957</v>
      </c>
      <c r="F9">
        <f t="shared" si="3"/>
        <v>0.97665390980290667</v>
      </c>
      <c r="G9">
        <f t="shared" si="4"/>
        <v>0.21481885500741271</v>
      </c>
      <c r="H9">
        <f t="shared" si="5"/>
        <v>0.86602540378443871</v>
      </c>
      <c r="I9">
        <f t="shared" si="6"/>
        <v>9.1666666666666661</v>
      </c>
      <c r="J9">
        <f t="shared" si="7"/>
        <v>39.692831006786776</v>
      </c>
      <c r="K9">
        <v>256</v>
      </c>
      <c r="L9">
        <v>80</v>
      </c>
      <c r="M9">
        <f t="shared" si="8"/>
        <v>0.35833333333333334</v>
      </c>
      <c r="N9">
        <v>192</v>
      </c>
      <c r="O9">
        <f t="shared" si="9"/>
        <v>-441.73972346849519</v>
      </c>
      <c r="P9">
        <f t="shared" si="10"/>
        <v>-73.470586647156239</v>
      </c>
      <c r="Q9">
        <f t="shared" si="11"/>
        <v>-363.93928698835043</v>
      </c>
      <c r="R9">
        <f t="shared" si="12"/>
        <v>-427.18302250426046</v>
      </c>
      <c r="S9">
        <f t="shared" si="13"/>
        <v>697</v>
      </c>
      <c r="T9">
        <f t="shared" si="14"/>
        <v>153</v>
      </c>
      <c r="U9">
        <f t="shared" si="15"/>
        <v>-364</v>
      </c>
      <c r="V9">
        <f t="shared" si="16"/>
        <v>-22</v>
      </c>
    </row>
    <row r="10" spans="2:22" x14ac:dyDescent="0.15">
      <c r="B10">
        <v>6</v>
      </c>
      <c r="C10">
        <f t="shared" si="0"/>
        <v>1.0995574287564276</v>
      </c>
      <c r="D10">
        <f t="shared" si="1"/>
        <v>0.79389262614623646</v>
      </c>
      <c r="E10">
        <f t="shared" si="2"/>
        <v>0.25451848022756346</v>
      </c>
      <c r="F10">
        <f t="shared" si="3"/>
        <v>0.96778464465381719</v>
      </c>
      <c r="G10">
        <f t="shared" si="4"/>
        <v>0.25177943039947631</v>
      </c>
      <c r="H10">
        <f t="shared" si="5"/>
        <v>0.80901699437494745</v>
      </c>
      <c r="I10">
        <f t="shared" si="6"/>
        <v>9</v>
      </c>
      <c r="J10">
        <f t="shared" si="7"/>
        <v>43.686917696247164</v>
      </c>
      <c r="K10">
        <v>256</v>
      </c>
      <c r="L10">
        <v>80</v>
      </c>
      <c r="M10">
        <f t="shared" si="8"/>
        <v>0.37</v>
      </c>
      <c r="N10">
        <v>192</v>
      </c>
      <c r="O10">
        <f t="shared" si="9"/>
        <v>-413.60234873345189</v>
      </c>
      <c r="P10">
        <f t="shared" si="10"/>
        <v>-94.204146438556592</v>
      </c>
      <c r="Q10">
        <f t="shared" si="11"/>
        <v>-326.61198361523373</v>
      </c>
      <c r="R10">
        <f t="shared" si="12"/>
        <v>-428.57593948244011</v>
      </c>
      <c r="S10">
        <f t="shared" si="13"/>
        <v>669</v>
      </c>
      <c r="T10">
        <f t="shared" si="14"/>
        <v>174</v>
      </c>
      <c r="U10">
        <f t="shared" si="15"/>
        <v>-327</v>
      </c>
      <c r="V10">
        <f t="shared" si="16"/>
        <v>-23</v>
      </c>
    </row>
    <row r="11" spans="2:22" x14ac:dyDescent="0.15">
      <c r="B11">
        <v>7</v>
      </c>
      <c r="C11">
        <f t="shared" si="0"/>
        <v>1.1519173063162575</v>
      </c>
      <c r="D11">
        <f t="shared" si="1"/>
        <v>0.83456530317942901</v>
      </c>
      <c r="E11">
        <f t="shared" si="2"/>
        <v>0.28974205177822815</v>
      </c>
      <c r="F11">
        <f t="shared" si="3"/>
        <v>0.95831760450038384</v>
      </c>
      <c r="G11">
        <f t="shared" si="4"/>
        <v>0.28570503829062205</v>
      </c>
      <c r="H11">
        <f t="shared" si="5"/>
        <v>0.74314482547739424</v>
      </c>
      <c r="I11">
        <f t="shared" si="6"/>
        <v>8.8333333333333339</v>
      </c>
      <c r="J11">
        <f t="shared" si="7"/>
        <v>45.951121708685548</v>
      </c>
      <c r="K11">
        <v>256</v>
      </c>
      <c r="L11">
        <v>80</v>
      </c>
      <c r="M11">
        <f t="shared" si="8"/>
        <v>0.38166666666666665</v>
      </c>
      <c r="N11">
        <v>192</v>
      </c>
      <c r="O11">
        <f t="shared" si="9"/>
        <v>-386.78420983082515</v>
      </c>
      <c r="P11">
        <f t="shared" si="10"/>
        <v>-111.63447109798929</v>
      </c>
      <c r="Q11">
        <f t="shared" si="11"/>
        <v>-292.11828682548321</v>
      </c>
      <c r="R11">
        <f t="shared" si="12"/>
        <v>-429.16482024785523</v>
      </c>
      <c r="S11">
        <f t="shared" si="13"/>
        <v>642</v>
      </c>
      <c r="T11">
        <f t="shared" si="14"/>
        <v>191</v>
      </c>
      <c r="U11">
        <f t="shared" si="15"/>
        <v>-293</v>
      </c>
      <c r="V11">
        <f t="shared" si="16"/>
        <v>-23</v>
      </c>
    </row>
    <row r="12" spans="2:22" x14ac:dyDescent="0.15">
      <c r="B12">
        <v>8</v>
      </c>
      <c r="C12">
        <f t="shared" si="0"/>
        <v>1.2042771838760873</v>
      </c>
      <c r="D12">
        <f t="shared" si="1"/>
        <v>0.87157241273869712</v>
      </c>
      <c r="E12">
        <f t="shared" si="2"/>
        <v>0.32179114877718823</v>
      </c>
      <c r="F12">
        <f t="shared" si="3"/>
        <v>0.94867046019857504</v>
      </c>
      <c r="G12">
        <f t="shared" si="4"/>
        <v>0.31626627696708964</v>
      </c>
      <c r="H12">
        <f t="shared" si="5"/>
        <v>0.66913060635885835</v>
      </c>
      <c r="I12">
        <f t="shared" si="6"/>
        <v>8.6666666666666661</v>
      </c>
      <c r="J12">
        <f t="shared" si="7"/>
        <v>46.393055374214178</v>
      </c>
      <c r="K12">
        <v>256</v>
      </c>
      <c r="L12">
        <v>80</v>
      </c>
      <c r="M12">
        <f t="shared" si="8"/>
        <v>0.39333333333333331</v>
      </c>
      <c r="N12">
        <v>192</v>
      </c>
      <c r="O12">
        <f t="shared" si="9"/>
        <v>-361.43975714619125</v>
      </c>
      <c r="P12">
        <f t="shared" si="10"/>
        <v>-125.84110229722447</v>
      </c>
      <c r="Q12">
        <f t="shared" si="11"/>
        <v>-260.3266960043332</v>
      </c>
      <c r="R12">
        <f t="shared" si="12"/>
        <v>-429.13924450008329</v>
      </c>
      <c r="S12">
        <f t="shared" si="13"/>
        <v>617</v>
      </c>
      <c r="T12">
        <f t="shared" si="14"/>
        <v>205</v>
      </c>
      <c r="U12">
        <f t="shared" si="15"/>
        <v>-261</v>
      </c>
      <c r="V12">
        <f t="shared" si="16"/>
        <v>-23</v>
      </c>
    </row>
    <row r="13" spans="2:22" x14ac:dyDescent="0.15">
      <c r="B13">
        <v>9</v>
      </c>
      <c r="C13">
        <f t="shared" si="0"/>
        <v>1.2566370614359172</v>
      </c>
      <c r="D13">
        <f t="shared" si="1"/>
        <v>0.90450849718747361</v>
      </c>
      <c r="E13">
        <f t="shared" si="2"/>
        <v>0.35031463461101831</v>
      </c>
      <c r="F13">
        <f t="shared" si="3"/>
        <v>0.93926477883431958</v>
      </c>
      <c r="G13">
        <f t="shared" si="4"/>
        <v>0.34319334964610926</v>
      </c>
      <c r="H13">
        <f t="shared" si="5"/>
        <v>0.58778525229247325</v>
      </c>
      <c r="I13">
        <f t="shared" si="6"/>
        <v>8.5</v>
      </c>
      <c r="J13">
        <f t="shared" si="7"/>
        <v>44.965571800374207</v>
      </c>
      <c r="K13">
        <v>256</v>
      </c>
      <c r="L13">
        <v>80</v>
      </c>
      <c r="M13">
        <f t="shared" si="8"/>
        <v>0.40499999999999997</v>
      </c>
      <c r="N13">
        <v>192</v>
      </c>
      <c r="O13">
        <f t="shared" si="9"/>
        <v>-337.70810711502679</v>
      </c>
      <c r="P13">
        <f t="shared" si="10"/>
        <v>-136.93209261581228</v>
      </c>
      <c r="Q13">
        <f t="shared" si="11"/>
        <v>-231.11569022355542</v>
      </c>
      <c r="R13">
        <f t="shared" si="12"/>
        <v>-428.65832501577762</v>
      </c>
      <c r="S13">
        <f t="shared" si="13"/>
        <v>593</v>
      </c>
      <c r="T13">
        <f t="shared" si="14"/>
        <v>216</v>
      </c>
      <c r="U13">
        <f t="shared" si="15"/>
        <v>-232</v>
      </c>
      <c r="V13">
        <f t="shared" si="16"/>
        <v>-23</v>
      </c>
    </row>
    <row r="14" spans="2:22" x14ac:dyDescent="0.15">
      <c r="B14">
        <v>10</v>
      </c>
      <c r="C14">
        <f t="shared" si="0"/>
        <v>1.308996938995747</v>
      </c>
      <c r="D14">
        <f t="shared" si="1"/>
        <v>0.93301270189221919</v>
      </c>
      <c r="E14">
        <f t="shared" si="2"/>
        <v>0.37499999999999983</v>
      </c>
      <c r="F14">
        <f t="shared" si="3"/>
        <v>0.9305076219123144</v>
      </c>
      <c r="G14">
        <f t="shared" si="4"/>
        <v>0.3662725290860474</v>
      </c>
      <c r="H14">
        <f t="shared" si="5"/>
        <v>0.50000000000000033</v>
      </c>
      <c r="I14">
        <f t="shared" si="6"/>
        <v>8.3333333333333339</v>
      </c>
      <c r="J14">
        <f t="shared" si="7"/>
        <v>41.6666666666667</v>
      </c>
      <c r="K14">
        <v>256</v>
      </c>
      <c r="L14">
        <v>80</v>
      </c>
      <c r="M14">
        <f t="shared" si="8"/>
        <v>0.41666666666666663</v>
      </c>
      <c r="N14">
        <v>192</v>
      </c>
      <c r="O14">
        <f t="shared" si="9"/>
        <v>-315.70388290292601</v>
      </c>
      <c r="P14">
        <f t="shared" si="10"/>
        <v>-145.03784187046756</v>
      </c>
      <c r="Q14">
        <f t="shared" si="11"/>
        <v>-204.38145222937334</v>
      </c>
      <c r="R14">
        <f t="shared" si="12"/>
        <v>-427.85012509035033</v>
      </c>
      <c r="S14">
        <f t="shared" si="13"/>
        <v>571</v>
      </c>
      <c r="T14">
        <f t="shared" si="14"/>
        <v>225</v>
      </c>
      <c r="U14">
        <f t="shared" si="15"/>
        <v>-205</v>
      </c>
      <c r="V14">
        <f t="shared" si="16"/>
        <v>-22</v>
      </c>
    </row>
    <row r="15" spans="2:22" x14ac:dyDescent="0.15">
      <c r="B15">
        <v>11</v>
      </c>
      <c r="C15">
        <f t="shared" si="0"/>
        <v>1.3613568165555769</v>
      </c>
      <c r="D15">
        <f t="shared" si="1"/>
        <v>0.95677272882130038</v>
      </c>
      <c r="E15">
        <f t="shared" si="2"/>
        <v>0.39557678691518655</v>
      </c>
      <c r="F15">
        <f t="shared" si="3"/>
        <v>0.92277445851456674</v>
      </c>
      <c r="G15">
        <f t="shared" si="4"/>
        <v>0.38534049711021567</v>
      </c>
      <c r="H15">
        <f t="shared" si="5"/>
        <v>0.40673664307580043</v>
      </c>
      <c r="I15">
        <f t="shared" si="6"/>
        <v>8.1666666666666661</v>
      </c>
      <c r="J15">
        <f t="shared" si="7"/>
        <v>36.538508436309399</v>
      </c>
      <c r="K15">
        <v>256</v>
      </c>
      <c r="L15">
        <v>80</v>
      </c>
      <c r="M15">
        <f t="shared" si="8"/>
        <v>0.42833333333333334</v>
      </c>
      <c r="N15">
        <v>192</v>
      </c>
      <c r="O15">
        <f t="shared" si="9"/>
        <v>-295.51033785150753</v>
      </c>
      <c r="P15">
        <f t="shared" si="10"/>
        <v>-150.30467064641684</v>
      </c>
      <c r="Q15">
        <f t="shared" si="11"/>
        <v>-180.04372761741135</v>
      </c>
      <c r="R15">
        <f t="shared" si="12"/>
        <v>-426.8124333506446</v>
      </c>
      <c r="S15">
        <f t="shared" si="13"/>
        <v>551</v>
      </c>
      <c r="T15">
        <f t="shared" si="14"/>
        <v>230</v>
      </c>
      <c r="U15">
        <f t="shared" si="15"/>
        <v>-181</v>
      </c>
      <c r="V15">
        <f t="shared" si="16"/>
        <v>-22</v>
      </c>
    </row>
    <row r="16" spans="2:22" x14ac:dyDescent="0.15">
      <c r="B16">
        <v>12</v>
      </c>
      <c r="C16">
        <f t="shared" si="0"/>
        <v>1.4137166941154069</v>
      </c>
      <c r="D16">
        <f t="shared" si="1"/>
        <v>0.97552825814757682</v>
      </c>
      <c r="E16">
        <f t="shared" si="2"/>
        <v>0.41181955177316598</v>
      </c>
      <c r="F16">
        <f t="shared" si="3"/>
        <v>0.91639401472026416</v>
      </c>
      <c r="G16">
        <f t="shared" si="4"/>
        <v>0.40027741603152722</v>
      </c>
      <c r="H16">
        <f t="shared" si="5"/>
        <v>0.30901699437494751</v>
      </c>
      <c r="I16">
        <f t="shared" si="6"/>
        <v>8</v>
      </c>
      <c r="J16">
        <f t="shared" si="7"/>
        <v>29.665631459994962</v>
      </c>
      <c r="K16">
        <v>256</v>
      </c>
      <c r="L16">
        <v>80</v>
      </c>
      <c r="M16">
        <f t="shared" si="8"/>
        <v>0.43999999999999995</v>
      </c>
      <c r="N16">
        <v>192</v>
      </c>
      <c r="O16">
        <f t="shared" si="9"/>
        <v>-277.17469947360826</v>
      </c>
      <c r="P16">
        <f t="shared" si="10"/>
        <v>-152.88867841834315</v>
      </c>
      <c r="Q16">
        <f t="shared" si="11"/>
        <v>-158.04930016904061</v>
      </c>
      <c r="R16">
        <f t="shared" si="12"/>
        <v>-425.61403975941124</v>
      </c>
      <c r="S16">
        <f t="shared" si="13"/>
        <v>533</v>
      </c>
      <c r="T16">
        <f t="shared" si="14"/>
        <v>232</v>
      </c>
      <c r="U16">
        <f t="shared" si="15"/>
        <v>-159</v>
      </c>
      <c r="V16">
        <f t="shared" si="16"/>
        <v>-21</v>
      </c>
    </row>
    <row r="17" spans="2:22" x14ac:dyDescent="0.15">
      <c r="B17">
        <v>13</v>
      </c>
      <c r="C17">
        <f t="shared" si="0"/>
        <v>1.4660765716752369</v>
      </c>
      <c r="D17">
        <f t="shared" si="1"/>
        <v>0.98907380036690273</v>
      </c>
      <c r="E17">
        <f t="shared" si="2"/>
        <v>0.42355033544313686</v>
      </c>
      <c r="F17">
        <f t="shared" si="3"/>
        <v>0.91163550228179957</v>
      </c>
      <c r="G17">
        <f t="shared" si="4"/>
        <v>0.41099964839329378</v>
      </c>
      <c r="H17">
        <f t="shared" si="5"/>
        <v>0.20791169081775931</v>
      </c>
      <c r="I17">
        <f t="shared" si="6"/>
        <v>7.833333333333333</v>
      </c>
      <c r="J17">
        <f t="shared" si="7"/>
        <v>21.172340514941823</v>
      </c>
      <c r="K17">
        <v>256</v>
      </c>
      <c r="L17">
        <v>80</v>
      </c>
      <c r="M17">
        <f t="shared" si="8"/>
        <v>0.45166666666666666</v>
      </c>
      <c r="N17">
        <v>192</v>
      </c>
      <c r="O17">
        <f t="shared" si="9"/>
        <v>-260.70558358112328</v>
      </c>
      <c r="P17">
        <f t="shared" si="10"/>
        <v>-152.95035421848681</v>
      </c>
      <c r="Q17">
        <f t="shared" si="11"/>
        <v>-138.37283384052861</v>
      </c>
      <c r="R17">
        <f t="shared" si="12"/>
        <v>-424.2957877030484</v>
      </c>
      <c r="S17">
        <f t="shared" si="13"/>
        <v>516</v>
      </c>
      <c r="T17">
        <f t="shared" si="14"/>
        <v>232</v>
      </c>
      <c r="U17">
        <f t="shared" si="15"/>
        <v>-139</v>
      </c>
      <c r="V17">
        <f t="shared" si="16"/>
        <v>-21</v>
      </c>
    </row>
    <row r="18" spans="2:22" x14ac:dyDescent="0.15">
      <c r="B18">
        <v>14</v>
      </c>
      <c r="C18">
        <f t="shared" si="0"/>
        <v>1.5184364492350668</v>
      </c>
      <c r="D18">
        <f t="shared" si="1"/>
        <v>0.99726094768413653</v>
      </c>
      <c r="E18">
        <f t="shared" si="2"/>
        <v>0.43064061300438694</v>
      </c>
      <c r="F18">
        <f t="shared" si="3"/>
        <v>0.90869851032300752</v>
      </c>
      <c r="G18">
        <f t="shared" si="4"/>
        <v>0.41745301213040364</v>
      </c>
      <c r="H18">
        <f t="shared" si="5"/>
        <v>0.10452846326765329</v>
      </c>
      <c r="I18">
        <f t="shared" si="6"/>
        <v>7.666666666666667</v>
      </c>
      <c r="J18">
        <f t="shared" si="7"/>
        <v>11.21938839072812</v>
      </c>
      <c r="K18">
        <v>256</v>
      </c>
      <c r="L18">
        <v>80</v>
      </c>
      <c r="M18">
        <f t="shared" si="8"/>
        <v>0.46333333333333332</v>
      </c>
      <c r="N18">
        <v>192</v>
      </c>
      <c r="O18">
        <f t="shared" si="9"/>
        <v>-246.07227045184879</v>
      </c>
      <c r="P18">
        <f t="shared" si="10"/>
        <v>-150.6502973497482</v>
      </c>
      <c r="Q18">
        <f t="shared" si="11"/>
        <v>-121.01504567058578</v>
      </c>
      <c r="R18">
        <f t="shared" si="12"/>
        <v>-422.87090796152324</v>
      </c>
      <c r="S18">
        <f t="shared" si="13"/>
        <v>502</v>
      </c>
      <c r="T18">
        <f t="shared" si="14"/>
        <v>230</v>
      </c>
      <c r="U18">
        <f t="shared" si="15"/>
        <v>-122</v>
      </c>
      <c r="V18">
        <f t="shared" si="16"/>
        <v>-20</v>
      </c>
    </row>
    <row r="19" spans="2:22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0.4330127018922193</v>
      </c>
      <c r="F19">
        <f t="shared" si="3"/>
        <v>0.90770571906660835</v>
      </c>
      <c r="G19">
        <f t="shared" si="4"/>
        <v>0.41960734928474686</v>
      </c>
      <c r="H19" s="4">
        <f t="shared" si="5"/>
        <v>1.22514845490862E-16</v>
      </c>
      <c r="I19">
        <f t="shared" si="6"/>
        <v>7.5</v>
      </c>
      <c r="J19">
        <f t="shared" si="7"/>
        <v>1.3782920117721975E-14</v>
      </c>
      <c r="K19">
        <v>256</v>
      </c>
      <c r="L19">
        <v>80</v>
      </c>
      <c r="M19">
        <f t="shared" si="8"/>
        <v>0.47499999999999998</v>
      </c>
      <c r="N19">
        <v>192</v>
      </c>
      <c r="O19">
        <f t="shared" si="9"/>
        <v>-233.20560859168791</v>
      </c>
      <c r="P19">
        <f t="shared" si="10"/>
        <v>-146.14627666714779</v>
      </c>
      <c r="Q19">
        <f t="shared" si="11"/>
        <v>-105.99832796641726</v>
      </c>
      <c r="R19">
        <f t="shared" si="12"/>
        <v>-421.32443149997221</v>
      </c>
      <c r="S19">
        <f t="shared" si="13"/>
        <v>489</v>
      </c>
      <c r="T19">
        <f t="shared" si="14"/>
        <v>226</v>
      </c>
      <c r="U19">
        <f t="shared" si="15"/>
        <v>-106</v>
      </c>
      <c r="V19">
        <f t="shared" si="16"/>
        <v>-19</v>
      </c>
    </row>
    <row r="20" spans="2:22" x14ac:dyDescent="0.15">
      <c r="B20">
        <v>16</v>
      </c>
      <c r="C20">
        <f t="shared" si="0"/>
        <v>1.6231562043547263</v>
      </c>
      <c r="D20">
        <f t="shared" si="1"/>
        <v>0.99726094768413653</v>
      </c>
      <c r="E20">
        <f t="shared" si="2"/>
        <v>0.43064061300438694</v>
      </c>
      <c r="F20">
        <f t="shared" si="3"/>
        <v>0.90869851032300752</v>
      </c>
      <c r="G20">
        <f t="shared" si="4"/>
        <v>0.41745301213040364</v>
      </c>
      <c r="H20">
        <f t="shared" si="5"/>
        <v>0.10452846326765305</v>
      </c>
      <c r="I20">
        <f t="shared" si="6"/>
        <v>7.333333333333333</v>
      </c>
      <c r="J20">
        <f t="shared" si="7"/>
        <v>12.264673023404624</v>
      </c>
      <c r="K20">
        <v>256</v>
      </c>
      <c r="L20">
        <v>80</v>
      </c>
      <c r="M20">
        <f t="shared" si="8"/>
        <v>0.48666666666666664</v>
      </c>
      <c r="N20">
        <v>192</v>
      </c>
      <c r="O20">
        <f t="shared" si="9"/>
        <v>-222.00031227949989</v>
      </c>
      <c r="P20">
        <f t="shared" si="10"/>
        <v>-139.59172144941783</v>
      </c>
      <c r="Q20">
        <f t="shared" si="11"/>
        <v>-103.59989366061714</v>
      </c>
      <c r="R20">
        <f t="shared" si="12"/>
        <v>-397.32200700066994</v>
      </c>
      <c r="S20">
        <f t="shared" si="13"/>
        <v>478</v>
      </c>
      <c r="T20">
        <f t="shared" si="14"/>
        <v>219</v>
      </c>
      <c r="U20">
        <f t="shared" si="15"/>
        <v>-104</v>
      </c>
      <c r="V20">
        <f t="shared" si="16"/>
        <v>-7</v>
      </c>
    </row>
    <row r="21" spans="2:22" x14ac:dyDescent="0.15">
      <c r="B21">
        <v>17</v>
      </c>
      <c r="C21">
        <f t="shared" si="0"/>
        <v>1.6755160819145565</v>
      </c>
      <c r="D21">
        <f t="shared" si="1"/>
        <v>0.98907380036690273</v>
      </c>
      <c r="E21">
        <f t="shared" si="2"/>
        <v>0.42355033544313686</v>
      </c>
      <c r="F21">
        <f t="shared" si="3"/>
        <v>0.91163550228179957</v>
      </c>
      <c r="G21">
        <f t="shared" si="4"/>
        <v>0.41099964839329378</v>
      </c>
      <c r="H21">
        <f t="shared" si="5"/>
        <v>0.20791169081775951</v>
      </c>
      <c r="I21">
        <f t="shared" si="6"/>
        <v>7.166666666666667</v>
      </c>
      <c r="J21">
        <f t="shared" si="7"/>
        <v>25.330574331297036</v>
      </c>
      <c r="K21">
        <v>256</v>
      </c>
      <c r="L21">
        <v>80</v>
      </c>
      <c r="M21">
        <f t="shared" si="8"/>
        <v>0.49833333333333329</v>
      </c>
      <c r="N21">
        <v>192</v>
      </c>
      <c r="O21">
        <f t="shared" si="9"/>
        <v>-212.31843863038267</v>
      </c>
      <c r="P21">
        <f t="shared" si="10"/>
        <v>-131.13560532846131</v>
      </c>
      <c r="Q21">
        <f t="shared" si="11"/>
        <v>-103.96551777688647</v>
      </c>
      <c r="R21">
        <f t="shared" si="12"/>
        <v>-371.47247620445319</v>
      </c>
      <c r="S21">
        <f t="shared" si="13"/>
        <v>468</v>
      </c>
      <c r="T21">
        <f t="shared" si="14"/>
        <v>211</v>
      </c>
      <c r="U21">
        <f t="shared" si="15"/>
        <v>-104</v>
      </c>
      <c r="V21">
        <f t="shared" si="16"/>
        <v>6</v>
      </c>
    </row>
    <row r="22" spans="2:22" x14ac:dyDescent="0.15">
      <c r="B22">
        <v>18</v>
      </c>
      <c r="C22">
        <f t="shared" si="0"/>
        <v>1.7278759594743862</v>
      </c>
      <c r="D22">
        <f t="shared" si="1"/>
        <v>0.97552825814757682</v>
      </c>
      <c r="E22">
        <f t="shared" si="2"/>
        <v>0.41181955177316598</v>
      </c>
      <c r="F22">
        <f t="shared" si="3"/>
        <v>0.91639401472026416</v>
      </c>
      <c r="G22">
        <f t="shared" si="4"/>
        <v>0.40027741603152722</v>
      </c>
      <c r="H22">
        <f t="shared" si="5"/>
        <v>0.30901699437494728</v>
      </c>
      <c r="I22">
        <f t="shared" si="6"/>
        <v>7</v>
      </c>
      <c r="J22">
        <f t="shared" si="7"/>
        <v>38.936141291243359</v>
      </c>
      <c r="K22">
        <v>256</v>
      </c>
      <c r="L22">
        <v>80</v>
      </c>
      <c r="M22">
        <f t="shared" si="8"/>
        <v>0.51</v>
      </c>
      <c r="N22">
        <v>192</v>
      </c>
      <c r="O22">
        <f t="shared" si="9"/>
        <v>-203.99385836938751</v>
      </c>
      <c r="P22">
        <f t="shared" si="10"/>
        <v>-120.92356569425681</v>
      </c>
      <c r="Q22">
        <f t="shared" si="11"/>
        <v>-106.55961069266539</v>
      </c>
      <c r="R22">
        <f t="shared" si="12"/>
        <v>-343.9892641914393</v>
      </c>
      <c r="S22">
        <f t="shared" si="13"/>
        <v>459</v>
      </c>
      <c r="T22">
        <f t="shared" si="14"/>
        <v>200</v>
      </c>
      <c r="U22">
        <f t="shared" si="15"/>
        <v>-107</v>
      </c>
      <c r="V22">
        <f t="shared" si="16"/>
        <v>20</v>
      </c>
    </row>
    <row r="23" spans="2:22" x14ac:dyDescent="0.15">
      <c r="B23">
        <v>19</v>
      </c>
      <c r="C23">
        <f t="shared" si="0"/>
        <v>1.780235837034216</v>
      </c>
      <c r="D23">
        <f t="shared" si="1"/>
        <v>0.9567727288213006</v>
      </c>
      <c r="E23">
        <f t="shared" si="2"/>
        <v>0.39557678691518672</v>
      </c>
      <c r="F23">
        <f t="shared" si="3"/>
        <v>0.92277445851456663</v>
      </c>
      <c r="G23">
        <f t="shared" si="4"/>
        <v>0.38534049711021584</v>
      </c>
      <c r="H23">
        <f t="shared" si="5"/>
        <v>0.40673664307579982</v>
      </c>
      <c r="I23">
        <f t="shared" si="6"/>
        <v>6.833333333333333</v>
      </c>
      <c r="J23">
        <f t="shared" si="7"/>
        <v>52.807974159341342</v>
      </c>
      <c r="K23">
        <v>256</v>
      </c>
      <c r="L23">
        <v>80</v>
      </c>
      <c r="M23">
        <f t="shared" si="8"/>
        <v>0.52166666666666661</v>
      </c>
      <c r="N23">
        <v>192</v>
      </c>
      <c r="O23">
        <f t="shared" si="9"/>
        <v>-196.83756175027941</v>
      </c>
      <c r="P23">
        <f t="shared" si="10"/>
        <v>-109.10000113779284</v>
      </c>
      <c r="Q23">
        <f t="shared" si="11"/>
        <v>-110.81786212421495</v>
      </c>
      <c r="R23">
        <f t="shared" si="12"/>
        <v>-315.09127986218755</v>
      </c>
      <c r="S23">
        <f t="shared" si="13"/>
        <v>452</v>
      </c>
      <c r="T23">
        <f t="shared" si="14"/>
        <v>189</v>
      </c>
      <c r="U23">
        <f t="shared" si="15"/>
        <v>-111</v>
      </c>
      <c r="V23">
        <f t="shared" si="16"/>
        <v>34</v>
      </c>
    </row>
    <row r="24" spans="2:22" x14ac:dyDescent="0.15">
      <c r="B24">
        <v>20</v>
      </c>
      <c r="C24">
        <f t="shared" si="0"/>
        <v>1.8325957145940459</v>
      </c>
      <c r="D24">
        <f t="shared" si="1"/>
        <v>0.93301270189221941</v>
      </c>
      <c r="E24">
        <f t="shared" si="2"/>
        <v>0.37500000000000006</v>
      </c>
      <c r="F24">
        <f t="shared" si="3"/>
        <v>0.93050762191231429</v>
      </c>
      <c r="G24">
        <f t="shared" si="4"/>
        <v>0.36627252908604763</v>
      </c>
      <c r="H24">
        <f t="shared" si="5"/>
        <v>0.49999999999999972</v>
      </c>
      <c r="I24">
        <f t="shared" si="6"/>
        <v>6.666666666666667</v>
      </c>
      <c r="J24">
        <f t="shared" si="7"/>
        <v>66.666666666666629</v>
      </c>
      <c r="K24">
        <v>256</v>
      </c>
      <c r="L24">
        <v>80</v>
      </c>
      <c r="M24">
        <f t="shared" si="8"/>
        <v>0.53333333333333333</v>
      </c>
      <c r="N24">
        <v>192</v>
      </c>
      <c r="O24">
        <f t="shared" si="9"/>
        <v>-190.64365851791086</v>
      </c>
      <c r="P24">
        <f t="shared" si="10"/>
        <v>-95.81081396130287</v>
      </c>
      <c r="Q24">
        <f t="shared" si="11"/>
        <v>-116.16824427041449</v>
      </c>
      <c r="R24">
        <f t="shared" si="12"/>
        <v>-285.0140304168068</v>
      </c>
      <c r="S24">
        <f t="shared" si="13"/>
        <v>446</v>
      </c>
      <c r="T24">
        <f t="shared" si="14"/>
        <v>175</v>
      </c>
      <c r="U24">
        <f t="shared" si="15"/>
        <v>-117</v>
      </c>
      <c r="V24">
        <f t="shared" si="16"/>
        <v>49</v>
      </c>
    </row>
    <row r="25" spans="2:22" x14ac:dyDescent="0.15">
      <c r="B25">
        <v>21</v>
      </c>
      <c r="C25">
        <f t="shared" si="0"/>
        <v>1.8849555921538759</v>
      </c>
      <c r="D25">
        <f t="shared" si="1"/>
        <v>0.90450849718747384</v>
      </c>
      <c r="E25">
        <f t="shared" si="2"/>
        <v>0.35031463461101847</v>
      </c>
      <c r="F25">
        <f t="shared" si="3"/>
        <v>0.93926477883431958</v>
      </c>
      <c r="G25">
        <f t="shared" si="4"/>
        <v>0.34319334964610942</v>
      </c>
      <c r="H25">
        <f t="shared" si="5"/>
        <v>0.58778525229247303</v>
      </c>
      <c r="I25">
        <f t="shared" si="6"/>
        <v>6.5</v>
      </c>
      <c r="J25">
        <f t="shared" si="7"/>
        <v>80.232686937922566</v>
      </c>
      <c r="K25">
        <v>256</v>
      </c>
      <c r="L25">
        <v>80</v>
      </c>
      <c r="M25">
        <f t="shared" si="8"/>
        <v>0.54499999999999993</v>
      </c>
      <c r="N25">
        <v>192</v>
      </c>
      <c r="O25">
        <f t="shared" si="9"/>
        <v>-185.19593281024925</v>
      </c>
      <c r="P25">
        <f t="shared" si="10"/>
        <v>-81.206417448447752</v>
      </c>
      <c r="Q25">
        <f t="shared" si="11"/>
        <v>-122.05264757683069</v>
      </c>
      <c r="R25">
        <f t="shared" si="12"/>
        <v>-254.01939270218196</v>
      </c>
      <c r="S25">
        <f t="shared" si="13"/>
        <v>441</v>
      </c>
      <c r="T25">
        <f t="shared" si="14"/>
        <v>161</v>
      </c>
      <c r="U25">
        <f t="shared" si="15"/>
        <v>-123</v>
      </c>
      <c r="V25">
        <f t="shared" si="16"/>
        <v>64</v>
      </c>
    </row>
    <row r="26" spans="2:22" x14ac:dyDescent="0.15">
      <c r="B26">
        <v>22</v>
      </c>
      <c r="C26">
        <f t="shared" si="0"/>
        <v>1.9373154697137056</v>
      </c>
      <c r="D26">
        <f t="shared" si="1"/>
        <v>0.87157241273869734</v>
      </c>
      <c r="E26">
        <f t="shared" si="2"/>
        <v>0.32179114877718845</v>
      </c>
      <c r="F26">
        <f t="shared" si="3"/>
        <v>0.94867046019857493</v>
      </c>
      <c r="G26">
        <f t="shared" si="4"/>
        <v>0.31626627696708987</v>
      </c>
      <c r="H26">
        <f t="shared" si="5"/>
        <v>0.6691306063588579</v>
      </c>
      <c r="I26">
        <f t="shared" si="6"/>
        <v>6.333333333333333</v>
      </c>
      <c r="J26">
        <f t="shared" si="7"/>
        <v>93.232197819334203</v>
      </c>
      <c r="K26">
        <v>256</v>
      </c>
      <c r="L26">
        <v>80</v>
      </c>
      <c r="M26">
        <f t="shared" si="8"/>
        <v>0.55666666666666664</v>
      </c>
      <c r="N26">
        <v>192</v>
      </c>
      <c r="O26">
        <f t="shared" si="9"/>
        <v>-180.27479846257819</v>
      </c>
      <c r="P26">
        <f t="shared" si="10"/>
        <v>-65.444611204026955</v>
      </c>
      <c r="Q26">
        <f t="shared" si="11"/>
        <v>-127.94840475809309</v>
      </c>
      <c r="R26">
        <f t="shared" si="12"/>
        <v>-222.40255332863484</v>
      </c>
      <c r="S26">
        <f t="shared" si="13"/>
        <v>436</v>
      </c>
      <c r="T26">
        <f t="shared" si="14"/>
        <v>145</v>
      </c>
      <c r="U26">
        <f t="shared" si="15"/>
        <v>-128</v>
      </c>
      <c r="V26">
        <f t="shared" si="16"/>
        <v>80</v>
      </c>
    </row>
    <row r="27" spans="2:22" x14ac:dyDescent="0.15">
      <c r="B27">
        <v>23</v>
      </c>
      <c r="C27">
        <f t="shared" si="0"/>
        <v>1.9896753472735356</v>
      </c>
      <c r="D27">
        <f t="shared" si="1"/>
        <v>0.83456530317942923</v>
      </c>
      <c r="E27">
        <f t="shared" si="2"/>
        <v>0.28974205177822832</v>
      </c>
      <c r="F27">
        <f t="shared" si="3"/>
        <v>0.95831760450038384</v>
      </c>
      <c r="G27">
        <f t="shared" si="4"/>
        <v>0.28570503829062222</v>
      </c>
      <c r="H27">
        <f t="shared" si="5"/>
        <v>0.74314482547739402</v>
      </c>
      <c r="I27">
        <f t="shared" si="6"/>
        <v>6.166666666666667</v>
      </c>
      <c r="J27">
        <f t="shared" si="7"/>
        <v>105.40270774687706</v>
      </c>
      <c r="K27">
        <v>256</v>
      </c>
      <c r="L27">
        <v>80</v>
      </c>
      <c r="M27">
        <f t="shared" si="8"/>
        <v>0.56833333333333336</v>
      </c>
      <c r="N27">
        <v>192</v>
      </c>
      <c r="O27">
        <f t="shared" si="9"/>
        <v>-175.66446935853065</v>
      </c>
      <c r="P27">
        <f t="shared" si="10"/>
        <v>-48.692943933840382</v>
      </c>
      <c r="Q27">
        <f t="shared" si="11"/>
        <v>-133.3887730485022</v>
      </c>
      <c r="R27">
        <f t="shared" si="12"/>
        <v>-190.49493755217259</v>
      </c>
      <c r="S27">
        <f t="shared" si="13"/>
        <v>431</v>
      </c>
      <c r="T27">
        <f t="shared" si="14"/>
        <v>128</v>
      </c>
      <c r="U27">
        <f t="shared" si="15"/>
        <v>-134</v>
      </c>
      <c r="V27">
        <f t="shared" si="16"/>
        <v>96</v>
      </c>
    </row>
    <row r="28" spans="2:22" x14ac:dyDescent="0.15">
      <c r="B28">
        <v>24</v>
      </c>
      <c r="C28">
        <f t="shared" si="0"/>
        <v>2.0420352248333655</v>
      </c>
      <c r="D28">
        <f t="shared" si="1"/>
        <v>0.79389262614623668</v>
      </c>
      <c r="E28">
        <f t="shared" si="2"/>
        <v>0.25451848022756368</v>
      </c>
      <c r="F28">
        <f t="shared" si="3"/>
        <v>0.96778464465381719</v>
      </c>
      <c r="G28">
        <f t="shared" si="4"/>
        <v>0.25177943039947653</v>
      </c>
      <c r="H28">
        <f t="shared" si="5"/>
        <v>0.80901699437494734</v>
      </c>
      <c r="I28">
        <f t="shared" si="6"/>
        <v>6</v>
      </c>
      <c r="J28">
        <f t="shared" si="7"/>
        <v>116.49844718999242</v>
      </c>
      <c r="K28">
        <v>256</v>
      </c>
      <c r="L28">
        <v>80</v>
      </c>
      <c r="M28">
        <f t="shared" si="8"/>
        <v>0.57999999999999996</v>
      </c>
      <c r="N28">
        <v>192</v>
      </c>
      <c r="O28">
        <f t="shared" si="9"/>
        <v>-171.16011901961588</v>
      </c>
      <c r="P28">
        <f t="shared" si="10"/>
        <v>-31.130231348734483</v>
      </c>
      <c r="Q28">
        <f t="shared" si="11"/>
        <v>-137.98127656187253</v>
      </c>
      <c r="R28">
        <f t="shared" si="12"/>
        <v>-158.66238998078012</v>
      </c>
      <c r="S28">
        <f t="shared" si="13"/>
        <v>427</v>
      </c>
      <c r="T28">
        <f t="shared" si="14"/>
        <v>111</v>
      </c>
      <c r="U28">
        <f t="shared" si="15"/>
        <v>-138</v>
      </c>
      <c r="V28">
        <f t="shared" si="16"/>
        <v>112</v>
      </c>
    </row>
    <row r="29" spans="2:22" x14ac:dyDescent="0.15">
      <c r="B29">
        <v>25</v>
      </c>
      <c r="C29">
        <f t="shared" si="0"/>
        <v>2.0943951023931957</v>
      </c>
      <c r="D29">
        <f t="shared" si="1"/>
        <v>0.74999999999999967</v>
      </c>
      <c r="E29">
        <f t="shared" si="2"/>
        <v>0.21650635094610937</v>
      </c>
      <c r="F29">
        <f t="shared" si="3"/>
        <v>0.97665390980290678</v>
      </c>
      <c r="G29">
        <f t="shared" si="4"/>
        <v>0.21481885500741252</v>
      </c>
      <c r="H29">
        <f t="shared" si="5"/>
        <v>0.86602540378443882</v>
      </c>
      <c r="I29">
        <f t="shared" si="6"/>
        <v>5.833333333333333</v>
      </c>
      <c r="J29">
        <f t="shared" si="7"/>
        <v>126.29537138523065</v>
      </c>
      <c r="K29">
        <v>256</v>
      </c>
      <c r="L29">
        <v>80</v>
      </c>
      <c r="M29">
        <f t="shared" si="8"/>
        <v>0.59166666666666667</v>
      </c>
      <c r="N29">
        <v>192</v>
      </c>
      <c r="O29">
        <f t="shared" si="9"/>
        <v>-166.574762100638</v>
      </c>
      <c r="P29">
        <f t="shared" si="10"/>
        <v>-12.946975011657926</v>
      </c>
      <c r="Q29">
        <f t="shared" si="11"/>
        <v>-141.42271573029157</v>
      </c>
      <c r="R29">
        <f t="shared" si="12"/>
        <v>-127.29841043987112</v>
      </c>
      <c r="S29">
        <f t="shared" si="13"/>
        <v>422</v>
      </c>
      <c r="T29">
        <f t="shared" si="14"/>
        <v>92</v>
      </c>
      <c r="U29">
        <f t="shared" si="15"/>
        <v>-142</v>
      </c>
      <c r="V29">
        <f t="shared" si="16"/>
        <v>128</v>
      </c>
    </row>
    <row r="30" spans="2:22" x14ac:dyDescent="0.15">
      <c r="B30">
        <v>26</v>
      </c>
      <c r="C30">
        <f t="shared" si="0"/>
        <v>2.1467549799530254</v>
      </c>
      <c r="D30">
        <f t="shared" si="1"/>
        <v>0.70336832153789997</v>
      </c>
      <c r="E30">
        <f t="shared" si="2"/>
        <v>0.17612213277682337</v>
      </c>
      <c r="F30">
        <f t="shared" si="3"/>
        <v>0.98453054652314365</v>
      </c>
      <c r="G30">
        <f t="shared" si="4"/>
        <v>0.17521302167030872</v>
      </c>
      <c r="H30">
        <f t="shared" si="5"/>
        <v>0.91354545764260098</v>
      </c>
      <c r="I30">
        <f t="shared" si="6"/>
        <v>5.666666666666667</v>
      </c>
      <c r="J30">
        <f t="shared" si="7"/>
        <v>134.59569742600988</v>
      </c>
      <c r="K30">
        <v>256</v>
      </c>
      <c r="L30">
        <v>80</v>
      </c>
      <c r="M30">
        <f t="shared" si="8"/>
        <v>0.60333333333333328</v>
      </c>
      <c r="N30">
        <v>192</v>
      </c>
      <c r="O30">
        <f t="shared" si="9"/>
        <v>-161.74555786175381</v>
      </c>
      <c r="P30">
        <f t="shared" si="10"/>
        <v>5.6554692581231478</v>
      </c>
      <c r="Q30">
        <f t="shared" si="11"/>
        <v>-143.50967816928187</v>
      </c>
      <c r="R30">
        <f t="shared" si="12"/>
        <v>-96.812831492620177</v>
      </c>
      <c r="S30">
        <f t="shared" si="13"/>
        <v>417</v>
      </c>
      <c r="T30">
        <f t="shared" si="14"/>
        <v>74</v>
      </c>
      <c r="U30">
        <f t="shared" si="15"/>
        <v>-144</v>
      </c>
      <c r="V30">
        <f t="shared" si="16"/>
        <v>143</v>
      </c>
    </row>
    <row r="31" spans="2:22" x14ac:dyDescent="0.15">
      <c r="B31">
        <v>27</v>
      </c>
      <c r="C31">
        <f t="shared" si="0"/>
        <v>2.1991148575128552</v>
      </c>
      <c r="D31">
        <f t="shared" si="1"/>
        <v>0.65450849718747373</v>
      </c>
      <c r="E31">
        <f t="shared" si="2"/>
        <v>0.13380828366490874</v>
      </c>
      <c r="F31">
        <f t="shared" si="3"/>
        <v>0.9910610210058366</v>
      </c>
      <c r="G31">
        <f t="shared" si="4"/>
        <v>0.13340934241224936</v>
      </c>
      <c r="H31">
        <f t="shared" si="5"/>
        <v>0.95105651629515353</v>
      </c>
      <c r="I31">
        <f t="shared" si="6"/>
        <v>5.5</v>
      </c>
      <c r="J31">
        <f t="shared" si="7"/>
        <v>141.2318926698303</v>
      </c>
      <c r="K31">
        <v>256</v>
      </c>
      <c r="L31">
        <v>80</v>
      </c>
      <c r="M31">
        <f t="shared" si="8"/>
        <v>0.61499999999999999</v>
      </c>
      <c r="N31">
        <v>192</v>
      </c>
      <c r="O31">
        <f t="shared" si="9"/>
        <v>-156.53922175202302</v>
      </c>
      <c r="P31">
        <f t="shared" si="10"/>
        <v>24.467005434901075</v>
      </c>
      <c r="Q31">
        <f t="shared" si="11"/>
        <v>-144.14356623787432</v>
      </c>
      <c r="R31">
        <f t="shared" si="12"/>
        <v>-67.616883052663155</v>
      </c>
      <c r="S31">
        <f t="shared" si="13"/>
        <v>412</v>
      </c>
      <c r="T31">
        <f t="shared" si="14"/>
        <v>55</v>
      </c>
      <c r="U31">
        <f t="shared" si="15"/>
        <v>-145</v>
      </c>
      <c r="V31">
        <f t="shared" si="16"/>
        <v>158</v>
      </c>
    </row>
    <row r="32" spans="2:22" x14ac:dyDescent="0.15">
      <c r="B32">
        <v>28</v>
      </c>
      <c r="C32">
        <f t="shared" si="0"/>
        <v>2.2514747350726854</v>
      </c>
      <c r="D32">
        <f t="shared" si="1"/>
        <v>0.60395584540887948</v>
      </c>
      <c r="E32">
        <f t="shared" si="2"/>
        <v>9.002840299597753E-2</v>
      </c>
      <c r="F32">
        <f t="shared" si="3"/>
        <v>0.99595017979019074</v>
      </c>
      <c r="G32">
        <f t="shared" si="4"/>
        <v>8.9906837203222928E-2</v>
      </c>
      <c r="H32">
        <f t="shared" si="5"/>
        <v>0.97814760073380569</v>
      </c>
      <c r="I32">
        <f t="shared" si="6"/>
        <v>5.333333333333333</v>
      </c>
      <c r="J32">
        <f t="shared" si="7"/>
        <v>146.07004170958163</v>
      </c>
      <c r="K32">
        <v>256</v>
      </c>
      <c r="L32">
        <v>80</v>
      </c>
      <c r="M32">
        <f t="shared" si="8"/>
        <v>0.62666666666666671</v>
      </c>
      <c r="N32">
        <v>192</v>
      </c>
      <c r="O32">
        <f t="shared" si="9"/>
        <v>-150.85624365897149</v>
      </c>
      <c r="P32">
        <f t="shared" si="10"/>
        <v>43.272100546768506</v>
      </c>
      <c r="Q32">
        <f t="shared" si="11"/>
        <v>-143.32949567678011</v>
      </c>
      <c r="R32">
        <f t="shared" si="12"/>
        <v>-40.10605220878449</v>
      </c>
      <c r="S32">
        <f t="shared" si="13"/>
        <v>406</v>
      </c>
      <c r="T32">
        <f t="shared" si="14"/>
        <v>36</v>
      </c>
      <c r="U32">
        <f t="shared" si="15"/>
        <v>-144</v>
      </c>
      <c r="V32">
        <f t="shared" si="16"/>
        <v>171</v>
      </c>
    </row>
    <row r="33" spans="2:22" x14ac:dyDescent="0.15">
      <c r="B33">
        <v>29</v>
      </c>
      <c r="C33">
        <f t="shared" si="0"/>
        <v>2.3038346126325151</v>
      </c>
      <c r="D33">
        <f t="shared" si="1"/>
        <v>0.55226423163382676</v>
      </c>
      <c r="E33">
        <f t="shared" si="2"/>
        <v>4.5262152304168253E-2</v>
      </c>
      <c r="F33">
        <f t="shared" si="3"/>
        <v>0.99897584364819536</v>
      </c>
      <c r="G33">
        <f t="shared" si="4"/>
        <v>4.5246699408644668E-2</v>
      </c>
      <c r="H33">
        <f t="shared" si="5"/>
        <v>0.9945218953682734</v>
      </c>
      <c r="I33">
        <f t="shared" si="6"/>
        <v>5.166666666666667</v>
      </c>
      <c r="J33">
        <f t="shared" si="7"/>
        <v>149.01253065601296</v>
      </c>
      <c r="K33">
        <v>256</v>
      </c>
      <c r="L33">
        <v>80</v>
      </c>
      <c r="M33">
        <f t="shared" si="8"/>
        <v>0.63833333333333331</v>
      </c>
      <c r="N33">
        <v>192</v>
      </c>
      <c r="O33">
        <f t="shared" si="9"/>
        <v>-144.63365426726585</v>
      </c>
      <c r="P33">
        <f t="shared" si="10"/>
        <v>61.85406519799524</v>
      </c>
      <c r="Q33">
        <f t="shared" si="11"/>
        <v>-141.16889112385223</v>
      </c>
      <c r="R33">
        <f t="shared" si="12"/>
        <v>-14.642446801098686</v>
      </c>
      <c r="S33">
        <f t="shared" si="13"/>
        <v>400</v>
      </c>
      <c r="T33">
        <f t="shared" si="14"/>
        <v>18</v>
      </c>
      <c r="U33">
        <f t="shared" si="15"/>
        <v>-142</v>
      </c>
      <c r="V33">
        <f t="shared" si="16"/>
        <v>184</v>
      </c>
    </row>
    <row r="34" spans="2:22" x14ac:dyDescent="0.15">
      <c r="B34">
        <v>30</v>
      </c>
      <c r="C34">
        <f t="shared" si="0"/>
        <v>2.3561944901923448</v>
      </c>
      <c r="D34">
        <f t="shared" si="1"/>
        <v>0.50000000000000011</v>
      </c>
      <c r="E34">
        <f t="shared" si="2"/>
        <v>9.6148134319178191E-17</v>
      </c>
      <c r="F34">
        <f t="shared" si="3"/>
        <v>1</v>
      </c>
      <c r="G34">
        <f t="shared" si="4"/>
        <v>9.6148134319178191E-17</v>
      </c>
      <c r="H34">
        <f t="shared" si="5"/>
        <v>1</v>
      </c>
      <c r="I34">
        <f t="shared" si="6"/>
        <v>5</v>
      </c>
      <c r="J34">
        <f t="shared" si="7"/>
        <v>150</v>
      </c>
      <c r="K34">
        <v>256</v>
      </c>
      <c r="L34">
        <v>80</v>
      </c>
      <c r="M34">
        <f t="shared" si="8"/>
        <v>0.64999999999999991</v>
      </c>
      <c r="N34">
        <v>192</v>
      </c>
      <c r="O34">
        <f t="shared" si="9"/>
        <v>-137.84615384615392</v>
      </c>
      <c r="P34">
        <f t="shared" si="10"/>
        <v>79.999999999999957</v>
      </c>
      <c r="Q34">
        <f t="shared" si="11"/>
        <v>-137.84615384615392</v>
      </c>
      <c r="R34">
        <f t="shared" si="12"/>
        <v>8.4615384615383959</v>
      </c>
      <c r="S34">
        <f t="shared" si="13"/>
        <v>393</v>
      </c>
      <c r="T34">
        <f t="shared" si="14"/>
        <v>0</v>
      </c>
      <c r="U34">
        <f t="shared" si="15"/>
        <v>-138</v>
      </c>
      <c r="V34">
        <f t="shared" si="16"/>
        <v>196</v>
      </c>
    </row>
    <row r="35" spans="2:22" x14ac:dyDescent="0.15">
      <c r="B35">
        <v>31</v>
      </c>
      <c r="C35">
        <f t="shared" si="0"/>
        <v>2.4085543677521746</v>
      </c>
      <c r="D35">
        <f t="shared" si="1"/>
        <v>0.44773576836617346</v>
      </c>
      <c r="E35">
        <f t="shared" si="2"/>
        <v>-4.5262152304168059E-2</v>
      </c>
      <c r="F35">
        <f t="shared" si="3"/>
        <v>0.99897584364819536</v>
      </c>
      <c r="G35">
        <f t="shared" si="4"/>
        <v>-4.5246699408644474E-2</v>
      </c>
      <c r="H35">
        <f t="shared" si="5"/>
        <v>0.9945218953682734</v>
      </c>
      <c r="I35">
        <f t="shared" si="6"/>
        <v>4.833333333333333</v>
      </c>
      <c r="J35">
        <f t="shared" si="7"/>
        <v>149.01253065601296</v>
      </c>
      <c r="K35">
        <v>256</v>
      </c>
      <c r="L35">
        <v>80</v>
      </c>
      <c r="M35">
        <f t="shared" si="8"/>
        <v>0.66166666666666663</v>
      </c>
      <c r="N35">
        <v>192</v>
      </c>
      <c r="O35">
        <f t="shared" si="9"/>
        <v>-130.50551532585092</v>
      </c>
      <c r="P35">
        <f t="shared" si="10"/>
        <v>97.506027781279073</v>
      </c>
      <c r="Q35">
        <f t="shared" si="11"/>
        <v>-133.61033077010634</v>
      </c>
      <c r="R35">
        <f t="shared" si="12"/>
        <v>28.956593936731053</v>
      </c>
      <c r="S35">
        <f t="shared" si="13"/>
        <v>386</v>
      </c>
      <c r="T35">
        <f t="shared" si="14"/>
        <v>-18</v>
      </c>
      <c r="U35">
        <f t="shared" si="15"/>
        <v>-134</v>
      </c>
      <c r="V35">
        <f t="shared" si="16"/>
        <v>206</v>
      </c>
    </row>
    <row r="36" spans="2:22" x14ac:dyDescent="0.15">
      <c r="B36">
        <v>32</v>
      </c>
      <c r="C36">
        <f t="shared" si="0"/>
        <v>2.4609142453120043</v>
      </c>
      <c r="D36">
        <f t="shared" si="1"/>
        <v>0.39604415459112069</v>
      </c>
      <c r="E36">
        <f t="shared" si="2"/>
        <v>-9.0028402995977377E-2</v>
      </c>
      <c r="F36">
        <f t="shared" si="3"/>
        <v>0.99595017979019074</v>
      </c>
      <c r="G36">
        <f t="shared" si="4"/>
        <v>-8.9906837203222775E-2</v>
      </c>
      <c r="H36">
        <f t="shared" si="5"/>
        <v>0.9781476007338058</v>
      </c>
      <c r="I36">
        <f t="shared" si="6"/>
        <v>4.666666666666667</v>
      </c>
      <c r="J36">
        <f t="shared" si="7"/>
        <v>146.07004170958169</v>
      </c>
      <c r="K36">
        <v>256</v>
      </c>
      <c r="L36">
        <v>80</v>
      </c>
      <c r="M36">
        <f t="shared" si="8"/>
        <v>0.67333333333333334</v>
      </c>
      <c r="N36">
        <v>192</v>
      </c>
      <c r="O36">
        <f t="shared" si="9"/>
        <v>-122.65828617765669</v>
      </c>
      <c r="P36">
        <f t="shared" si="10"/>
        <v>114.18240147132431</v>
      </c>
      <c r="Q36">
        <f t="shared" si="11"/>
        <v>-128.75319154502529</v>
      </c>
      <c r="R36">
        <f t="shared" si="12"/>
        <v>46.665599799010948</v>
      </c>
      <c r="S36">
        <f t="shared" si="13"/>
        <v>378</v>
      </c>
      <c r="T36">
        <f t="shared" si="14"/>
        <v>-35</v>
      </c>
      <c r="U36">
        <f t="shared" si="15"/>
        <v>-129</v>
      </c>
      <c r="V36">
        <f t="shared" si="16"/>
        <v>215</v>
      </c>
    </row>
    <row r="37" spans="2:22" x14ac:dyDescent="0.15">
      <c r="B37">
        <v>33</v>
      </c>
      <c r="C37">
        <f t="shared" si="0"/>
        <v>2.5132741228718345</v>
      </c>
      <c r="D37">
        <f t="shared" si="1"/>
        <v>0.34549150281252644</v>
      </c>
      <c r="E37">
        <f t="shared" si="2"/>
        <v>-0.13380828366490857</v>
      </c>
      <c r="F37">
        <f t="shared" si="3"/>
        <v>0.9910610210058366</v>
      </c>
      <c r="G37">
        <f t="shared" si="4"/>
        <v>-0.13340934241224919</v>
      </c>
      <c r="H37">
        <f t="shared" si="5"/>
        <v>0.95105651629515364</v>
      </c>
      <c r="I37">
        <f t="shared" si="6"/>
        <v>4.5</v>
      </c>
      <c r="J37">
        <f t="shared" si="7"/>
        <v>141.2318926698303</v>
      </c>
      <c r="K37">
        <v>256</v>
      </c>
      <c r="L37">
        <v>80</v>
      </c>
      <c r="M37">
        <f t="shared" si="8"/>
        <v>0.68500000000000005</v>
      </c>
      <c r="N37">
        <v>192</v>
      </c>
      <c r="O37">
        <f t="shared" si="9"/>
        <v>-114.38192901823965</v>
      </c>
      <c r="P37">
        <f t="shared" si="10"/>
        <v>129.85809001100114</v>
      </c>
      <c r="Q37">
        <f t="shared" si="11"/>
        <v>-123.58545072070839</v>
      </c>
      <c r="R37">
        <f t="shared" si="12"/>
        <v>61.487678686190094</v>
      </c>
      <c r="S37">
        <f t="shared" si="13"/>
        <v>370</v>
      </c>
      <c r="T37">
        <f t="shared" si="14"/>
        <v>-50</v>
      </c>
      <c r="U37">
        <f t="shared" si="15"/>
        <v>-124</v>
      </c>
      <c r="V37">
        <f t="shared" si="16"/>
        <v>222</v>
      </c>
    </row>
    <row r="38" spans="2:22" x14ac:dyDescent="0.15">
      <c r="B38">
        <v>34</v>
      </c>
      <c r="C38">
        <f t="shared" si="0"/>
        <v>2.5656340004316647</v>
      </c>
      <c r="D38">
        <f t="shared" si="1"/>
        <v>0.29663167846209976</v>
      </c>
      <c r="E38">
        <f t="shared" si="2"/>
        <v>-0.17612213277682359</v>
      </c>
      <c r="F38">
        <f t="shared" si="3"/>
        <v>0.98453054652314365</v>
      </c>
      <c r="G38">
        <f t="shared" si="4"/>
        <v>-0.17521302167030894</v>
      </c>
      <c r="H38">
        <f t="shared" si="5"/>
        <v>0.91354545764260076</v>
      </c>
      <c r="I38">
        <f t="shared" si="6"/>
        <v>4.333333333333333</v>
      </c>
      <c r="J38">
        <f t="shared" si="7"/>
        <v>134.59569742600982</v>
      </c>
      <c r="K38">
        <v>256</v>
      </c>
      <c r="L38">
        <v>80</v>
      </c>
      <c r="M38">
        <f t="shared" si="8"/>
        <v>0.69666666666666655</v>
      </c>
      <c r="N38">
        <v>192</v>
      </c>
      <c r="O38">
        <f t="shared" si="9"/>
        <v>-105.77964580371986</v>
      </c>
      <c r="P38">
        <f t="shared" si="10"/>
        <v>144.38449791521401</v>
      </c>
      <c r="Q38">
        <f t="shared" si="11"/>
        <v>-118.41300703119394</v>
      </c>
      <c r="R38">
        <f t="shared" si="12"/>
        <v>73.397022697114721</v>
      </c>
      <c r="S38">
        <f t="shared" si="13"/>
        <v>361</v>
      </c>
      <c r="T38">
        <f t="shared" si="14"/>
        <v>-65</v>
      </c>
      <c r="U38">
        <f t="shared" si="15"/>
        <v>-119</v>
      </c>
      <c r="V38">
        <f t="shared" si="16"/>
        <v>228</v>
      </c>
    </row>
    <row r="39" spans="2:22" x14ac:dyDescent="0.15">
      <c r="B39">
        <v>35</v>
      </c>
      <c r="C39">
        <f t="shared" si="0"/>
        <v>2.617993877991494</v>
      </c>
      <c r="D39">
        <f t="shared" si="1"/>
        <v>0.25000000000000033</v>
      </c>
      <c r="E39">
        <f t="shared" si="2"/>
        <v>-0.21650635094610937</v>
      </c>
      <c r="F39">
        <f t="shared" si="3"/>
        <v>0.97665390980290678</v>
      </c>
      <c r="G39">
        <f t="shared" si="4"/>
        <v>-0.21481885500741252</v>
      </c>
      <c r="H39">
        <f t="shared" si="5"/>
        <v>0.86602540378443904</v>
      </c>
      <c r="I39">
        <f t="shared" si="6"/>
        <v>4.166666666666667</v>
      </c>
      <c r="J39">
        <f t="shared" si="7"/>
        <v>126.29537138523069</v>
      </c>
      <c r="K39">
        <v>256</v>
      </c>
      <c r="L39">
        <v>80</v>
      </c>
      <c r="M39">
        <f t="shared" si="8"/>
        <v>0.70833333333333326</v>
      </c>
      <c r="N39">
        <v>192</v>
      </c>
      <c r="O39">
        <f t="shared" si="9"/>
        <v>-96.974213048768206</v>
      </c>
      <c r="P39">
        <f t="shared" si="10"/>
        <v>157.63806148032603</v>
      </c>
      <c r="Q39">
        <f t="shared" si="11"/>
        <v>-113.51499555774041</v>
      </c>
      <c r="R39">
        <f t="shared" si="12"/>
        <v>82.436934893789612</v>
      </c>
      <c r="S39">
        <f t="shared" si="13"/>
        <v>352</v>
      </c>
      <c r="T39">
        <f t="shared" si="14"/>
        <v>-78</v>
      </c>
      <c r="U39">
        <f t="shared" si="15"/>
        <v>-114</v>
      </c>
      <c r="V39">
        <f t="shared" si="16"/>
        <v>233</v>
      </c>
    </row>
    <row r="40" spans="2:22" x14ac:dyDescent="0.15">
      <c r="B40">
        <v>36</v>
      </c>
      <c r="C40">
        <f t="shared" si="0"/>
        <v>2.6703537555513241</v>
      </c>
      <c r="D40">
        <f t="shared" si="1"/>
        <v>0.20610737385376349</v>
      </c>
      <c r="E40">
        <f t="shared" si="2"/>
        <v>-0.25451848022756351</v>
      </c>
      <c r="F40">
        <f t="shared" si="3"/>
        <v>0.96778464465381719</v>
      </c>
      <c r="G40">
        <f t="shared" si="4"/>
        <v>-0.25177943039947637</v>
      </c>
      <c r="H40">
        <f t="shared" si="5"/>
        <v>0.80901699437494756</v>
      </c>
      <c r="I40">
        <f t="shared" si="6"/>
        <v>4</v>
      </c>
      <c r="J40">
        <f t="shared" si="7"/>
        <v>116.49844718999245</v>
      </c>
      <c r="K40">
        <v>256</v>
      </c>
      <c r="L40">
        <v>80</v>
      </c>
      <c r="M40">
        <f t="shared" si="8"/>
        <v>0.72</v>
      </c>
      <c r="N40">
        <v>192</v>
      </c>
      <c r="O40">
        <f t="shared" si="9"/>
        <v>-88.101206988023932</v>
      </c>
      <c r="P40">
        <f t="shared" si="10"/>
        <v>169.52157525314715</v>
      </c>
      <c r="Q40">
        <f t="shared" si="11"/>
        <v>-109.12518039199942</v>
      </c>
      <c r="R40">
        <f t="shared" si="12"/>
        <v>88.710054638872037</v>
      </c>
      <c r="S40">
        <f t="shared" si="13"/>
        <v>344</v>
      </c>
      <c r="T40">
        <f t="shared" si="14"/>
        <v>-90</v>
      </c>
      <c r="U40">
        <f t="shared" si="15"/>
        <v>-110</v>
      </c>
      <c r="V40">
        <f t="shared" si="16"/>
        <v>236</v>
      </c>
    </row>
    <row r="41" spans="2:22" x14ac:dyDescent="0.15">
      <c r="B41">
        <v>37</v>
      </c>
      <c r="C41">
        <f t="shared" si="0"/>
        <v>2.7227136331111543</v>
      </c>
      <c r="D41">
        <f t="shared" si="1"/>
        <v>0.16543469682057077</v>
      </c>
      <c r="E41">
        <f t="shared" si="2"/>
        <v>-0.28974205177822832</v>
      </c>
      <c r="F41">
        <f t="shared" si="3"/>
        <v>0.95831760450038384</v>
      </c>
      <c r="G41">
        <f t="shared" si="4"/>
        <v>-0.28570503829062222</v>
      </c>
      <c r="H41">
        <f t="shared" si="5"/>
        <v>0.74314482547739402</v>
      </c>
      <c r="I41">
        <f t="shared" si="6"/>
        <v>3.8333333333333335</v>
      </c>
      <c r="J41">
        <f t="shared" si="7"/>
        <v>105.40270774687706</v>
      </c>
      <c r="K41">
        <v>256</v>
      </c>
      <c r="L41">
        <v>80</v>
      </c>
      <c r="M41">
        <f t="shared" si="8"/>
        <v>0.73166666666666669</v>
      </c>
      <c r="N41">
        <v>192</v>
      </c>
      <c r="O41">
        <f t="shared" si="9"/>
        <v>-79.302013784188944</v>
      </c>
      <c r="P41">
        <f t="shared" si="10"/>
        <v>179.96422296455484</v>
      </c>
      <c r="Q41">
        <f t="shared" si="11"/>
        <v>-105.41780454899425</v>
      </c>
      <c r="R41">
        <f t="shared" si="12"/>
        <v>92.366110606789817</v>
      </c>
      <c r="S41">
        <f t="shared" si="13"/>
        <v>335</v>
      </c>
      <c r="T41">
        <f t="shared" si="14"/>
        <v>-100</v>
      </c>
      <c r="U41">
        <f t="shared" si="15"/>
        <v>-106</v>
      </c>
      <c r="V41">
        <f t="shared" si="16"/>
        <v>238</v>
      </c>
    </row>
    <row r="42" spans="2:22" x14ac:dyDescent="0.15">
      <c r="B42">
        <v>38</v>
      </c>
      <c r="C42">
        <f t="shared" si="0"/>
        <v>2.7750735106709836</v>
      </c>
      <c r="D42">
        <f t="shared" si="1"/>
        <v>0.12842758726130316</v>
      </c>
      <c r="E42">
        <f t="shared" si="2"/>
        <v>-0.32179114877718801</v>
      </c>
      <c r="F42">
        <f t="shared" si="3"/>
        <v>0.94867046019857515</v>
      </c>
      <c r="G42">
        <f t="shared" si="4"/>
        <v>-0.31626627696708942</v>
      </c>
      <c r="H42">
        <f t="shared" si="5"/>
        <v>0.66913060635885879</v>
      </c>
      <c r="I42">
        <f t="shared" si="6"/>
        <v>3.6666666666666665</v>
      </c>
      <c r="J42">
        <f t="shared" si="7"/>
        <v>93.232197819334317</v>
      </c>
      <c r="K42">
        <v>256</v>
      </c>
      <c r="L42">
        <v>80</v>
      </c>
      <c r="M42">
        <f t="shared" si="8"/>
        <v>0.74333333333333329</v>
      </c>
      <c r="N42">
        <v>192</v>
      </c>
      <c r="O42">
        <f t="shared" si="9"/>
        <v>-70.717001539240243</v>
      </c>
      <c r="P42">
        <f t="shared" si="10"/>
        <v>188.92040390615458</v>
      </c>
      <c r="Q42">
        <f t="shared" si="11"/>
        <v>-102.49852863867213</v>
      </c>
      <c r="R42">
        <f t="shared" si="12"/>
        <v>93.588722550924444</v>
      </c>
      <c r="S42">
        <f t="shared" si="13"/>
        <v>326</v>
      </c>
      <c r="T42">
        <f t="shared" si="14"/>
        <v>-109</v>
      </c>
      <c r="U42">
        <f t="shared" si="15"/>
        <v>-103</v>
      </c>
      <c r="V42">
        <f t="shared" si="16"/>
        <v>238</v>
      </c>
    </row>
    <row r="43" spans="2:22" x14ac:dyDescent="0.15">
      <c r="B43">
        <v>39</v>
      </c>
      <c r="C43">
        <f t="shared" si="0"/>
        <v>2.8274333882308138</v>
      </c>
      <c r="D43">
        <f t="shared" si="1"/>
        <v>9.5491502812526344E-2</v>
      </c>
      <c r="E43">
        <f t="shared" si="2"/>
        <v>-0.35031463461101831</v>
      </c>
      <c r="F43">
        <f t="shared" si="3"/>
        <v>0.93926477883431958</v>
      </c>
      <c r="G43">
        <f t="shared" si="4"/>
        <v>-0.34319334964610926</v>
      </c>
      <c r="H43">
        <f t="shared" si="5"/>
        <v>0.58778525229247336</v>
      </c>
      <c r="I43">
        <f t="shared" si="6"/>
        <v>3.5</v>
      </c>
      <c r="J43">
        <f t="shared" si="7"/>
        <v>80.232686937922608</v>
      </c>
      <c r="K43">
        <v>256</v>
      </c>
      <c r="L43">
        <v>80</v>
      </c>
      <c r="M43">
        <f t="shared" si="8"/>
        <v>0.75499999999999989</v>
      </c>
      <c r="N43">
        <v>192</v>
      </c>
      <c r="O43">
        <f t="shared" si="9"/>
        <v>-62.479183286868647</v>
      </c>
      <c r="P43">
        <f t="shared" si="10"/>
        <v>196.36754637007149</v>
      </c>
      <c r="Q43">
        <f t="shared" si="11"/>
        <v>-100.40060353870057</v>
      </c>
      <c r="R43">
        <f t="shared" si="12"/>
        <v>92.582742723238965</v>
      </c>
      <c r="S43">
        <f t="shared" si="13"/>
        <v>318</v>
      </c>
      <c r="T43">
        <f t="shared" si="14"/>
        <v>-117</v>
      </c>
      <c r="U43">
        <f t="shared" si="15"/>
        <v>-101</v>
      </c>
      <c r="V43">
        <f t="shared" si="16"/>
        <v>238</v>
      </c>
    </row>
    <row r="44" spans="2:22" x14ac:dyDescent="0.15">
      <c r="B44">
        <v>40</v>
      </c>
      <c r="C44">
        <f t="shared" si="0"/>
        <v>2.8797932657906435</v>
      </c>
      <c r="D44">
        <f t="shared" si="1"/>
        <v>6.6987298107780813E-2</v>
      </c>
      <c r="E44">
        <f t="shared" si="2"/>
        <v>-0.37499999999999983</v>
      </c>
      <c r="F44">
        <f t="shared" si="3"/>
        <v>0.9305076219123144</v>
      </c>
      <c r="G44">
        <f t="shared" si="4"/>
        <v>-0.3662725290860474</v>
      </c>
      <c r="H44">
        <f t="shared" si="5"/>
        <v>0.50000000000000044</v>
      </c>
      <c r="I44">
        <f t="shared" si="6"/>
        <v>3.3333333333333335</v>
      </c>
      <c r="J44">
        <f t="shared" si="7"/>
        <v>66.666666666666728</v>
      </c>
      <c r="K44">
        <v>256</v>
      </c>
      <c r="L44">
        <v>80</v>
      </c>
      <c r="M44">
        <f t="shared" si="8"/>
        <v>0.76666666666666661</v>
      </c>
      <c r="N44">
        <v>192</v>
      </c>
      <c r="O44">
        <f t="shared" si="9"/>
        <v>-54.708632012459816</v>
      </c>
      <c r="P44">
        <f t="shared" si="10"/>
        <v>202.30317492960194</v>
      </c>
      <c r="Q44">
        <f t="shared" si="11"/>
        <v>-99.08599930462438</v>
      </c>
      <c r="R44">
        <f t="shared" si="12"/>
        <v>89.563410883414292</v>
      </c>
      <c r="S44">
        <f t="shared" si="13"/>
        <v>310</v>
      </c>
      <c r="T44">
        <f t="shared" si="14"/>
        <v>-123</v>
      </c>
      <c r="U44">
        <f t="shared" si="15"/>
        <v>-100</v>
      </c>
      <c r="V44">
        <f t="shared" si="16"/>
        <v>236</v>
      </c>
    </row>
    <row r="45" spans="2:22" x14ac:dyDescent="0.15">
      <c r="B45">
        <v>41</v>
      </c>
      <c r="C45">
        <f t="shared" si="0"/>
        <v>2.9321531433504733</v>
      </c>
      <c r="D45">
        <f t="shared" si="1"/>
        <v>4.3227271178699719E-2</v>
      </c>
      <c r="E45">
        <f t="shared" si="2"/>
        <v>-0.39557678691518644</v>
      </c>
      <c r="F45">
        <f t="shared" si="3"/>
        <v>0.92277445851456674</v>
      </c>
      <c r="G45">
        <f t="shared" si="4"/>
        <v>-0.38534049711021562</v>
      </c>
      <c r="H45">
        <f t="shared" si="5"/>
        <v>0.40673664307580093</v>
      </c>
      <c r="I45">
        <f t="shared" si="6"/>
        <v>3.1666666666666665</v>
      </c>
      <c r="J45">
        <f t="shared" si="7"/>
        <v>52.807974159341484</v>
      </c>
      <c r="K45">
        <v>256</v>
      </c>
      <c r="L45">
        <v>80</v>
      </c>
      <c r="M45">
        <f t="shared" si="8"/>
        <v>0.77833333333333332</v>
      </c>
      <c r="N45">
        <v>192</v>
      </c>
      <c r="O45">
        <f t="shared" si="9"/>
        <v>-47.507830466461371</v>
      </c>
      <c r="P45">
        <f t="shared" si="10"/>
        <v>206.74154251847779</v>
      </c>
      <c r="Q45">
        <f t="shared" si="11"/>
        <v>-98.450897119161056</v>
      </c>
      <c r="R45">
        <f t="shared" si="12"/>
        <v>84.748237641230844</v>
      </c>
      <c r="S45">
        <f t="shared" si="13"/>
        <v>303</v>
      </c>
      <c r="T45">
        <f t="shared" si="14"/>
        <v>-127</v>
      </c>
      <c r="U45">
        <f t="shared" si="15"/>
        <v>-99</v>
      </c>
      <c r="V45">
        <f t="shared" si="16"/>
        <v>234</v>
      </c>
    </row>
    <row r="46" spans="2:22" x14ac:dyDescent="0.15">
      <c r="B46">
        <v>42</v>
      </c>
      <c r="C46">
        <f t="shared" si="0"/>
        <v>2.9845130209103035</v>
      </c>
      <c r="D46">
        <f t="shared" si="1"/>
        <v>2.4471741852423248E-2</v>
      </c>
      <c r="E46">
        <f t="shared" si="2"/>
        <v>-0.41181955177316593</v>
      </c>
      <c r="F46">
        <f t="shared" si="3"/>
        <v>0.91639401472026416</v>
      </c>
      <c r="G46">
        <f t="shared" si="4"/>
        <v>-0.40027741603152717</v>
      </c>
      <c r="H46">
        <f t="shared" si="5"/>
        <v>0.30901699437494762</v>
      </c>
      <c r="I46">
        <f t="shared" si="6"/>
        <v>3</v>
      </c>
      <c r="J46">
        <f t="shared" si="7"/>
        <v>38.936141291243402</v>
      </c>
      <c r="K46">
        <v>256</v>
      </c>
      <c r="L46">
        <v>80</v>
      </c>
      <c r="M46">
        <f t="shared" si="8"/>
        <v>0.78999999999999992</v>
      </c>
      <c r="N46">
        <v>192</v>
      </c>
      <c r="O46">
        <f t="shared" si="9"/>
        <v>-40.958060466313498</v>
      </c>
      <c r="P46">
        <f t="shared" si="10"/>
        <v>209.71015000515311</v>
      </c>
      <c r="Q46">
        <f t="shared" si="11"/>
        <v>-98.334761817914767</v>
      </c>
      <c r="R46">
        <f t="shared" si="12"/>
        <v>78.352087828449768</v>
      </c>
      <c r="S46">
        <f t="shared" si="13"/>
        <v>296</v>
      </c>
      <c r="T46">
        <f t="shared" si="14"/>
        <v>-130</v>
      </c>
      <c r="U46">
        <f t="shared" si="15"/>
        <v>-99</v>
      </c>
      <c r="V46">
        <f t="shared" si="16"/>
        <v>231</v>
      </c>
    </row>
    <row r="47" spans="2:22" x14ac:dyDescent="0.15">
      <c r="B47">
        <v>43</v>
      </c>
      <c r="C47">
        <f t="shared" si="0"/>
        <v>3.0368728984701332</v>
      </c>
      <c r="D47">
        <f t="shared" si="1"/>
        <v>1.0926199633097235E-2</v>
      </c>
      <c r="E47">
        <f t="shared" si="2"/>
        <v>-0.42355033544313692</v>
      </c>
      <c r="F47">
        <f t="shared" si="3"/>
        <v>0.91163550228179946</v>
      </c>
      <c r="G47">
        <f t="shared" si="4"/>
        <v>-0.41099964839329378</v>
      </c>
      <c r="H47">
        <f t="shared" si="5"/>
        <v>0.20791169081775987</v>
      </c>
      <c r="I47">
        <f t="shared" si="6"/>
        <v>2.8333333333333335</v>
      </c>
      <c r="J47">
        <f t="shared" si="7"/>
        <v>25.330574331297079</v>
      </c>
      <c r="K47">
        <v>256</v>
      </c>
      <c r="L47">
        <v>80</v>
      </c>
      <c r="M47">
        <f t="shared" si="8"/>
        <v>0.80166666666666653</v>
      </c>
      <c r="N47">
        <v>192</v>
      </c>
      <c r="O47">
        <f t="shared" si="9"/>
        <v>-35.11686725672439</v>
      </c>
      <c r="P47">
        <f t="shared" si="10"/>
        <v>211.24645736634082</v>
      </c>
      <c r="Q47">
        <f t="shared" si="11"/>
        <v>-98.532142381527805</v>
      </c>
      <c r="R47">
        <f t="shared" si="12"/>
        <v>70.585470388031837</v>
      </c>
      <c r="S47">
        <f t="shared" si="13"/>
        <v>291</v>
      </c>
      <c r="T47">
        <f t="shared" si="14"/>
        <v>-132</v>
      </c>
      <c r="U47">
        <f t="shared" si="15"/>
        <v>-99</v>
      </c>
      <c r="V47">
        <f t="shared" si="16"/>
        <v>227</v>
      </c>
    </row>
    <row r="48" spans="2:22" x14ac:dyDescent="0.15">
      <c r="B48">
        <v>44</v>
      </c>
      <c r="C48">
        <f t="shared" si="0"/>
        <v>3.0892327760299629</v>
      </c>
      <c r="D48">
        <f t="shared" si="1"/>
        <v>2.7390523158633755E-3</v>
      </c>
      <c r="E48">
        <f t="shared" si="2"/>
        <v>-0.43064061300438705</v>
      </c>
      <c r="F48">
        <f t="shared" si="3"/>
        <v>0.90869851032300752</v>
      </c>
      <c r="G48">
        <f t="shared" si="4"/>
        <v>-0.4174530121304037</v>
      </c>
      <c r="H48">
        <f t="shared" si="5"/>
        <v>0.1045284632676543</v>
      </c>
      <c r="I48">
        <f t="shared" si="6"/>
        <v>2.6666666666666665</v>
      </c>
      <c r="J48">
        <f t="shared" si="7"/>
        <v>12.264673023404772</v>
      </c>
      <c r="K48">
        <v>256</v>
      </c>
      <c r="L48">
        <v>80</v>
      </c>
      <c r="M48">
        <f t="shared" si="8"/>
        <v>0.81333333333333324</v>
      </c>
      <c r="N48">
        <v>192</v>
      </c>
      <c r="O48">
        <f t="shared" si="9"/>
        <v>-30.016580298389272</v>
      </c>
      <c r="P48">
        <f t="shared" si="10"/>
        <v>211.39504644104511</v>
      </c>
      <c r="Q48">
        <f t="shared" si="11"/>
        <v>-98.806369225062326</v>
      </c>
      <c r="R48">
        <f t="shared" si="12"/>
        <v>61.65561012916784</v>
      </c>
      <c r="S48">
        <f t="shared" si="13"/>
        <v>286</v>
      </c>
      <c r="T48">
        <f t="shared" si="14"/>
        <v>-132</v>
      </c>
      <c r="U48">
        <f t="shared" si="15"/>
        <v>-99</v>
      </c>
      <c r="V48">
        <f t="shared" si="16"/>
        <v>222</v>
      </c>
    </row>
    <row r="49" spans="2:22" x14ac:dyDescent="0.15">
      <c r="B49">
        <v>45</v>
      </c>
      <c r="C49">
        <f t="shared" si="0"/>
        <v>3.1415926535897931</v>
      </c>
      <c r="D49">
        <f t="shared" si="1"/>
        <v>1.5009887365649789E-32</v>
      </c>
      <c r="E49">
        <f t="shared" si="2"/>
        <v>-0.4330127018922193</v>
      </c>
      <c r="F49">
        <f t="shared" si="3"/>
        <v>0.90770571906660835</v>
      </c>
      <c r="G49">
        <f t="shared" si="4"/>
        <v>-0.41960734928474686</v>
      </c>
      <c r="H49" s="4">
        <f t="shared" si="5"/>
        <v>2.45029690981724E-16</v>
      </c>
      <c r="I49">
        <f t="shared" si="6"/>
        <v>2.5</v>
      </c>
      <c r="J49">
        <f t="shared" si="7"/>
        <v>2.756584023544395E-14</v>
      </c>
      <c r="K49">
        <v>256</v>
      </c>
      <c r="L49">
        <v>80</v>
      </c>
      <c r="M49">
        <f t="shared" si="8"/>
        <v>0.82499999999999996</v>
      </c>
      <c r="N49">
        <v>192</v>
      </c>
      <c r="O49">
        <f t="shared" si="9"/>
        <v>-25.6638352497597</v>
      </c>
      <c r="P49">
        <f t="shared" si="10"/>
        <v>210.20543202047904</v>
      </c>
      <c r="Q49">
        <f t="shared" si="11"/>
        <v>-98.904390761279146</v>
      </c>
      <c r="R49">
        <f t="shared" si="12"/>
        <v>51.769524692489256</v>
      </c>
      <c r="S49">
        <f t="shared" si="13"/>
        <v>281</v>
      </c>
      <c r="T49">
        <f t="shared" si="14"/>
        <v>-131</v>
      </c>
      <c r="U49">
        <f t="shared" si="15"/>
        <v>-99</v>
      </c>
      <c r="V49">
        <f t="shared" si="16"/>
        <v>217</v>
      </c>
    </row>
    <row r="50" spans="2:22" x14ac:dyDescent="0.15">
      <c r="B50">
        <v>46</v>
      </c>
      <c r="C50">
        <f t="shared" si="0"/>
        <v>3.1939525311496229</v>
      </c>
      <c r="D50">
        <f t="shared" si="1"/>
        <v>2.7390523158633026E-3</v>
      </c>
      <c r="E50">
        <f t="shared" si="2"/>
        <v>-0.43064061300438711</v>
      </c>
      <c r="F50">
        <f t="shared" si="3"/>
        <v>0.90869851032300752</v>
      </c>
      <c r="G50">
        <f t="shared" si="4"/>
        <v>-0.41745301213040376</v>
      </c>
      <c r="H50">
        <f t="shared" si="5"/>
        <v>0.10452846326765293</v>
      </c>
      <c r="I50">
        <f t="shared" si="6"/>
        <v>2.3333333333333335</v>
      </c>
      <c r="J50">
        <f t="shared" si="7"/>
        <v>11.219388390728083</v>
      </c>
      <c r="K50">
        <v>256</v>
      </c>
      <c r="L50">
        <v>80</v>
      </c>
      <c r="M50">
        <f t="shared" si="8"/>
        <v>0.83666666666666667</v>
      </c>
      <c r="N50">
        <v>192</v>
      </c>
      <c r="O50">
        <f t="shared" si="9"/>
        <v>-22.040022282099528</v>
      </c>
      <c r="P50">
        <f t="shared" si="10"/>
        <v>207.73064275543828</v>
      </c>
      <c r="Q50">
        <f t="shared" si="11"/>
        <v>-89.204941354063237</v>
      </c>
      <c r="R50">
        <f t="shared" si="12"/>
        <v>61.528171739147155</v>
      </c>
      <c r="S50">
        <f t="shared" si="13"/>
        <v>278</v>
      </c>
      <c r="T50">
        <f t="shared" si="14"/>
        <v>-128</v>
      </c>
      <c r="U50">
        <f t="shared" si="15"/>
        <v>-90</v>
      </c>
      <c r="V50">
        <f t="shared" si="16"/>
        <v>222</v>
      </c>
    </row>
    <row r="51" spans="2:22" x14ac:dyDescent="0.15">
      <c r="B51">
        <v>47</v>
      </c>
      <c r="C51">
        <f t="shared" si="0"/>
        <v>3.246312408709453</v>
      </c>
      <c r="D51">
        <f t="shared" si="1"/>
        <v>1.0926199633097187E-2</v>
      </c>
      <c r="E51">
        <f t="shared" si="2"/>
        <v>-0.42355033544313692</v>
      </c>
      <c r="F51">
        <f t="shared" si="3"/>
        <v>0.91163550228179946</v>
      </c>
      <c r="G51">
        <f t="shared" si="4"/>
        <v>-0.41099964839329378</v>
      </c>
      <c r="H51">
        <f t="shared" si="5"/>
        <v>0.20791169081775937</v>
      </c>
      <c r="I51">
        <f t="shared" si="6"/>
        <v>2.1666666666666665</v>
      </c>
      <c r="J51">
        <f t="shared" si="7"/>
        <v>21.172340514941826</v>
      </c>
      <c r="K51">
        <v>256</v>
      </c>
      <c r="L51">
        <v>80</v>
      </c>
      <c r="M51">
        <f t="shared" si="8"/>
        <v>0.84833333333333338</v>
      </c>
      <c r="N51">
        <v>192</v>
      </c>
      <c r="O51">
        <f t="shared" si="9"/>
        <v>-19.102579863427081</v>
      </c>
      <c r="P51">
        <f t="shared" si="10"/>
        <v>204.02661295326112</v>
      </c>
      <c r="Q51">
        <f t="shared" si="11"/>
        <v>-80.165725142332292</v>
      </c>
      <c r="R51">
        <f t="shared" si="12"/>
        <v>68.582869059903686</v>
      </c>
      <c r="S51">
        <f t="shared" si="13"/>
        <v>275</v>
      </c>
      <c r="T51">
        <f t="shared" si="14"/>
        <v>-125</v>
      </c>
      <c r="U51">
        <f t="shared" si="15"/>
        <v>-81</v>
      </c>
      <c r="V51">
        <f t="shared" si="16"/>
        <v>226</v>
      </c>
    </row>
    <row r="52" spans="2:22" x14ac:dyDescent="0.15">
      <c r="B52">
        <v>48</v>
      </c>
      <c r="C52">
        <f t="shared" si="0"/>
        <v>3.2986722862692828</v>
      </c>
      <c r="D52">
        <f t="shared" si="1"/>
        <v>2.4471741852423172E-2</v>
      </c>
      <c r="E52">
        <f t="shared" si="2"/>
        <v>-0.41181955177316598</v>
      </c>
      <c r="F52">
        <f t="shared" si="3"/>
        <v>0.91639401472026416</v>
      </c>
      <c r="G52">
        <f t="shared" si="4"/>
        <v>-0.40027741603152722</v>
      </c>
      <c r="H52">
        <f t="shared" si="5"/>
        <v>0.30901699437494717</v>
      </c>
      <c r="I52">
        <f t="shared" si="6"/>
        <v>2</v>
      </c>
      <c r="J52">
        <f t="shared" si="7"/>
        <v>29.665631459994927</v>
      </c>
      <c r="K52">
        <v>256</v>
      </c>
      <c r="L52">
        <v>80</v>
      </c>
      <c r="M52">
        <f t="shared" si="8"/>
        <v>0.85999999999999988</v>
      </c>
      <c r="N52">
        <v>192</v>
      </c>
      <c r="O52">
        <f t="shared" si="9"/>
        <v>-16.787055544636814</v>
      </c>
      <c r="P52">
        <f t="shared" si="10"/>
        <v>199.15234709775694</v>
      </c>
      <c r="Q52">
        <f t="shared" si="11"/>
        <v>-71.935768481374765</v>
      </c>
      <c r="R52">
        <f t="shared" si="12"/>
        <v>72.895035466735266</v>
      </c>
      <c r="S52">
        <f t="shared" si="13"/>
        <v>272</v>
      </c>
      <c r="T52">
        <f t="shared" si="14"/>
        <v>-120</v>
      </c>
      <c r="U52">
        <f t="shared" si="15"/>
        <v>-72</v>
      </c>
      <c r="V52">
        <f t="shared" si="16"/>
        <v>228</v>
      </c>
    </row>
    <row r="53" spans="2:22" x14ac:dyDescent="0.15">
      <c r="B53">
        <v>49</v>
      </c>
      <c r="C53">
        <f t="shared" si="0"/>
        <v>3.3510321638291125</v>
      </c>
      <c r="D53">
        <f t="shared" si="1"/>
        <v>4.3227271178699442E-2</v>
      </c>
      <c r="E53">
        <f t="shared" si="2"/>
        <v>-0.39557678691518666</v>
      </c>
      <c r="F53">
        <f t="shared" si="3"/>
        <v>0.92277445851456674</v>
      </c>
      <c r="G53">
        <f t="shared" si="4"/>
        <v>-0.38534049711021578</v>
      </c>
      <c r="H53">
        <f t="shared" si="5"/>
        <v>0.40673664307579971</v>
      </c>
      <c r="I53">
        <f t="shared" si="6"/>
        <v>1.8333333333333333</v>
      </c>
      <c r="J53">
        <f t="shared" si="7"/>
        <v>36.538508436309336</v>
      </c>
      <c r="K53">
        <v>256</v>
      </c>
      <c r="L53">
        <v>80</v>
      </c>
      <c r="M53">
        <f t="shared" si="8"/>
        <v>0.87166666666666659</v>
      </c>
      <c r="N53">
        <v>192</v>
      </c>
      <c r="O53">
        <f t="shared" si="9"/>
        <v>-15.009860091467431</v>
      </c>
      <c r="P53">
        <f t="shared" si="10"/>
        <v>193.17074637883201</v>
      </c>
      <c r="Q53">
        <f t="shared" si="11"/>
        <v>-64.58863792504718</v>
      </c>
      <c r="R53">
        <f t="shared" si="12"/>
        <v>74.444502414626839</v>
      </c>
      <c r="S53">
        <f t="shared" si="13"/>
        <v>271</v>
      </c>
      <c r="T53">
        <f t="shared" si="14"/>
        <v>-114</v>
      </c>
      <c r="U53">
        <f t="shared" si="15"/>
        <v>-65</v>
      </c>
      <c r="V53">
        <f t="shared" si="16"/>
        <v>229</v>
      </c>
    </row>
    <row r="54" spans="2:22" x14ac:dyDescent="0.15">
      <c r="B54">
        <v>50</v>
      </c>
      <c r="C54">
        <f t="shared" si="0"/>
        <v>3.4033920413889427</v>
      </c>
      <c r="D54">
        <f t="shared" si="1"/>
        <v>6.6987298107780688E-2</v>
      </c>
      <c r="E54">
        <f t="shared" si="2"/>
        <v>-0.37499999999999994</v>
      </c>
      <c r="F54">
        <f t="shared" si="3"/>
        <v>0.93050762191231429</v>
      </c>
      <c r="G54">
        <f t="shared" si="4"/>
        <v>-0.36627252908604752</v>
      </c>
      <c r="H54">
        <f t="shared" si="5"/>
        <v>0.5</v>
      </c>
      <c r="I54">
        <f t="shared" si="6"/>
        <v>1.6666666666666667</v>
      </c>
      <c r="J54">
        <f t="shared" si="7"/>
        <v>41.666666666666671</v>
      </c>
      <c r="K54">
        <v>256</v>
      </c>
      <c r="L54">
        <v>80</v>
      </c>
      <c r="M54">
        <f t="shared" si="8"/>
        <v>0.8833333333333333</v>
      </c>
      <c r="N54">
        <v>192</v>
      </c>
      <c r="O54">
        <f t="shared" si="9"/>
        <v>-13.671642878738623</v>
      </c>
      <c r="P54">
        <f t="shared" si="10"/>
        <v>186.14992541059792</v>
      </c>
      <c r="Q54">
        <f t="shared" si="11"/>
        <v>-58.119620543614637</v>
      </c>
      <c r="R54">
        <f t="shared" si="12"/>
        <v>73.230777204320546</v>
      </c>
      <c r="S54">
        <f t="shared" si="13"/>
        <v>269</v>
      </c>
      <c r="T54">
        <f t="shared" si="14"/>
        <v>-107</v>
      </c>
      <c r="U54">
        <f t="shared" si="15"/>
        <v>-59</v>
      </c>
      <c r="V54">
        <f t="shared" si="16"/>
        <v>228</v>
      </c>
    </row>
    <row r="55" spans="2:22" x14ac:dyDescent="0.15">
      <c r="B55">
        <v>51</v>
      </c>
      <c r="C55">
        <f t="shared" si="0"/>
        <v>3.4557519189487724</v>
      </c>
      <c r="D55">
        <f t="shared" si="1"/>
        <v>9.5491502812526205E-2</v>
      </c>
      <c r="E55">
        <f t="shared" si="2"/>
        <v>-0.35031463461101842</v>
      </c>
      <c r="F55">
        <f t="shared" si="3"/>
        <v>0.93926477883431958</v>
      </c>
      <c r="G55">
        <f t="shared" si="4"/>
        <v>-0.34319334964610937</v>
      </c>
      <c r="H55">
        <f t="shared" si="5"/>
        <v>0.58778525229247292</v>
      </c>
      <c r="I55">
        <f t="shared" si="6"/>
        <v>1.5</v>
      </c>
      <c r="J55">
        <f t="shared" si="7"/>
        <v>44.965571800374178</v>
      </c>
      <c r="K55">
        <v>256</v>
      </c>
      <c r="L55">
        <v>80</v>
      </c>
      <c r="M55">
        <f t="shared" si="8"/>
        <v>0.89500000000000002</v>
      </c>
      <c r="N55">
        <v>192</v>
      </c>
      <c r="O55">
        <f t="shared" si="9"/>
        <v>-12.661210482218792</v>
      </c>
      <c r="P55">
        <f t="shared" si="10"/>
        <v>178.16480168648491</v>
      </c>
      <c r="Q55">
        <f t="shared" si="11"/>
        <v>-52.447026225943503</v>
      </c>
      <c r="R55">
        <f t="shared" si="12"/>
        <v>69.277448642474042</v>
      </c>
      <c r="S55">
        <f t="shared" si="13"/>
        <v>268</v>
      </c>
      <c r="T55">
        <f t="shared" si="14"/>
        <v>-99</v>
      </c>
      <c r="U55">
        <f t="shared" si="15"/>
        <v>-53</v>
      </c>
      <c r="V55">
        <f t="shared" si="16"/>
        <v>226</v>
      </c>
    </row>
    <row r="56" spans="2:22" x14ac:dyDescent="0.15">
      <c r="B56">
        <v>52</v>
      </c>
      <c r="C56">
        <f t="shared" si="0"/>
        <v>3.5081117965086026</v>
      </c>
      <c r="D56">
        <f t="shared" si="1"/>
        <v>0.12842758726130299</v>
      </c>
      <c r="E56">
        <f t="shared" si="2"/>
        <v>-0.32179114877718817</v>
      </c>
      <c r="F56">
        <f t="shared" si="3"/>
        <v>0.94867046019857504</v>
      </c>
      <c r="G56">
        <f t="shared" si="4"/>
        <v>-0.31626627696708959</v>
      </c>
      <c r="H56">
        <f t="shared" si="5"/>
        <v>0.66913060635885846</v>
      </c>
      <c r="I56">
        <f t="shared" si="6"/>
        <v>1.3333333333333333</v>
      </c>
      <c r="J56">
        <f t="shared" si="7"/>
        <v>46.393055374214185</v>
      </c>
      <c r="K56">
        <v>256</v>
      </c>
      <c r="L56">
        <v>80</v>
      </c>
      <c r="M56">
        <f t="shared" si="8"/>
        <v>0.90666666666666673</v>
      </c>
      <c r="N56">
        <v>192</v>
      </c>
      <c r="O56">
        <f t="shared" si="9"/>
        <v>-11.859894644303495</v>
      </c>
      <c r="P56">
        <f t="shared" si="10"/>
        <v>169.29871349658998</v>
      </c>
      <c r="Q56">
        <f t="shared" si="11"/>
        <v>-47.417862085804614</v>
      </c>
      <c r="R56">
        <f t="shared" si="12"/>
        <v>62.639243951042985</v>
      </c>
      <c r="S56">
        <f t="shared" si="13"/>
        <v>267</v>
      </c>
      <c r="T56">
        <f t="shared" si="14"/>
        <v>-90</v>
      </c>
      <c r="U56">
        <f t="shared" si="15"/>
        <v>-48</v>
      </c>
      <c r="V56">
        <f t="shared" si="16"/>
        <v>223</v>
      </c>
    </row>
    <row r="57" spans="2:22" x14ac:dyDescent="0.15">
      <c r="B57">
        <v>53</v>
      </c>
      <c r="C57">
        <f t="shared" si="0"/>
        <v>3.5604716740684323</v>
      </c>
      <c r="D57">
        <f t="shared" si="1"/>
        <v>0.16543469682057088</v>
      </c>
      <c r="E57">
        <f t="shared" si="2"/>
        <v>-0.2897420517782282</v>
      </c>
      <c r="F57">
        <f t="shared" si="3"/>
        <v>0.95831760450038384</v>
      </c>
      <c r="G57">
        <f t="shared" si="4"/>
        <v>-0.2857050382906221</v>
      </c>
      <c r="H57">
        <f t="shared" si="5"/>
        <v>0.74314482547739424</v>
      </c>
      <c r="I57">
        <f t="shared" si="6"/>
        <v>1.1666666666666667</v>
      </c>
      <c r="J57">
        <f t="shared" si="7"/>
        <v>45.951121708685548</v>
      </c>
      <c r="K57">
        <v>256</v>
      </c>
      <c r="L57">
        <v>80</v>
      </c>
      <c r="M57">
        <f t="shared" si="8"/>
        <v>0.91833333333333322</v>
      </c>
      <c r="N57">
        <v>192</v>
      </c>
      <c r="O57">
        <f t="shared" si="9"/>
        <v>-11.146250546749513</v>
      </c>
      <c r="P57">
        <f t="shared" si="10"/>
        <v>159.64481648174149</v>
      </c>
      <c r="Q57">
        <f t="shared" si="11"/>
        <v>-42.817992830452063</v>
      </c>
      <c r="R57">
        <f t="shared" si="12"/>
        <v>53.410819429168015</v>
      </c>
      <c r="S57">
        <f t="shared" si="13"/>
        <v>267</v>
      </c>
      <c r="T57">
        <f t="shared" si="14"/>
        <v>-80</v>
      </c>
      <c r="U57">
        <f t="shared" si="15"/>
        <v>-43</v>
      </c>
      <c r="V57">
        <f t="shared" si="16"/>
        <v>218</v>
      </c>
    </row>
    <row r="58" spans="2:22" x14ac:dyDescent="0.15">
      <c r="B58">
        <v>54</v>
      </c>
      <c r="C58">
        <f t="shared" si="0"/>
        <v>3.6128315516282621</v>
      </c>
      <c r="D58">
        <f t="shared" si="1"/>
        <v>0.20610737385376335</v>
      </c>
      <c r="E58">
        <f t="shared" si="2"/>
        <v>-0.25451848022756368</v>
      </c>
      <c r="F58">
        <f t="shared" si="3"/>
        <v>0.96778464465381719</v>
      </c>
      <c r="G58">
        <f t="shared" si="4"/>
        <v>-0.25177943039947653</v>
      </c>
      <c r="H58">
        <f t="shared" si="5"/>
        <v>0.80901699437494723</v>
      </c>
      <c r="I58">
        <f t="shared" si="6"/>
        <v>1</v>
      </c>
      <c r="J58">
        <f t="shared" si="7"/>
        <v>43.68691769624715</v>
      </c>
      <c r="K58">
        <v>256</v>
      </c>
      <c r="L58">
        <v>80</v>
      </c>
      <c r="M58">
        <f t="shared" si="8"/>
        <v>0.92999999999999994</v>
      </c>
      <c r="N58">
        <v>192</v>
      </c>
      <c r="O58">
        <f t="shared" si="9"/>
        <v>-10.400934442341111</v>
      </c>
      <c r="P58">
        <f t="shared" si="10"/>
        <v>149.30702600243654</v>
      </c>
      <c r="Q58">
        <f t="shared" si="11"/>
        <v>-38.386669315241747</v>
      </c>
      <c r="R58">
        <f t="shared" si="12"/>
        <v>41.736028497302797</v>
      </c>
      <c r="S58">
        <f t="shared" si="13"/>
        <v>266</v>
      </c>
      <c r="T58">
        <f t="shared" si="14"/>
        <v>-70</v>
      </c>
      <c r="U58">
        <f t="shared" si="15"/>
        <v>-39</v>
      </c>
      <c r="V58">
        <f t="shared" si="16"/>
        <v>212</v>
      </c>
    </row>
    <row r="59" spans="2:22" x14ac:dyDescent="0.15">
      <c r="B59">
        <v>55</v>
      </c>
      <c r="C59">
        <f t="shared" si="0"/>
        <v>3.6651914291880923</v>
      </c>
      <c r="D59">
        <f t="shared" si="1"/>
        <v>0.25000000000000011</v>
      </c>
      <c r="E59">
        <f t="shared" si="2"/>
        <v>-0.21650635094610957</v>
      </c>
      <c r="F59">
        <f t="shared" si="3"/>
        <v>0.97665390980290667</v>
      </c>
      <c r="G59">
        <f t="shared" si="4"/>
        <v>-0.21481885500741271</v>
      </c>
      <c r="H59">
        <f t="shared" si="5"/>
        <v>0.86602540378443882</v>
      </c>
      <c r="I59">
        <f t="shared" si="6"/>
        <v>0.83333333333333337</v>
      </c>
      <c r="J59">
        <f t="shared" si="7"/>
        <v>39.692831006786783</v>
      </c>
      <c r="K59">
        <v>256</v>
      </c>
      <c r="L59">
        <v>80</v>
      </c>
      <c r="M59">
        <f t="shared" si="8"/>
        <v>0.94166666666666665</v>
      </c>
      <c r="N59">
        <v>192</v>
      </c>
      <c r="O59">
        <f t="shared" si="9"/>
        <v>-9.5115761871264795</v>
      </c>
      <c r="P59">
        <f t="shared" si="10"/>
        <v>138.40031173298865</v>
      </c>
      <c r="Q59">
        <f t="shared" si="11"/>
        <v>-33.834983028051937</v>
      </c>
      <c r="R59">
        <f t="shared" si="12"/>
        <v>27.816208721654355</v>
      </c>
      <c r="S59">
        <f t="shared" si="13"/>
        <v>265</v>
      </c>
      <c r="T59">
        <f t="shared" si="14"/>
        <v>-59</v>
      </c>
      <c r="U59">
        <f t="shared" si="15"/>
        <v>-34</v>
      </c>
      <c r="V59">
        <f t="shared" si="16"/>
        <v>205</v>
      </c>
    </row>
    <row r="60" spans="2:22" x14ac:dyDescent="0.15">
      <c r="B60">
        <v>56</v>
      </c>
      <c r="C60">
        <f t="shared" si="0"/>
        <v>3.717551306747922</v>
      </c>
      <c r="D60">
        <f t="shared" si="1"/>
        <v>0.29663167846209992</v>
      </c>
      <c r="E60">
        <f t="shared" si="2"/>
        <v>-0.17612213277682345</v>
      </c>
      <c r="F60">
        <f t="shared" si="3"/>
        <v>0.98453054652314365</v>
      </c>
      <c r="G60">
        <f t="shared" si="4"/>
        <v>-0.17521302167030881</v>
      </c>
      <c r="H60">
        <f t="shared" si="5"/>
        <v>0.91354545764260087</v>
      </c>
      <c r="I60">
        <f t="shared" si="6"/>
        <v>0.66666666666666663</v>
      </c>
      <c r="J60">
        <f t="shared" si="7"/>
        <v>34.105697085323762</v>
      </c>
      <c r="K60">
        <v>256</v>
      </c>
      <c r="L60">
        <v>80</v>
      </c>
      <c r="M60">
        <f t="shared" si="8"/>
        <v>0.95333333333333337</v>
      </c>
      <c r="N60">
        <v>192</v>
      </c>
      <c r="O60">
        <f t="shared" si="9"/>
        <v>-8.3774334719490753</v>
      </c>
      <c r="P60">
        <f t="shared" si="10"/>
        <v>127.05021001496405</v>
      </c>
      <c r="Q60">
        <f t="shared" si="11"/>
        <v>-28.867414362874534</v>
      </c>
      <c r="R60">
        <f t="shared" si="12"/>
        <v>11.91600427795931</v>
      </c>
      <c r="S60">
        <f t="shared" si="13"/>
        <v>264</v>
      </c>
      <c r="T60">
        <f t="shared" si="14"/>
        <v>-48</v>
      </c>
      <c r="U60">
        <f t="shared" si="15"/>
        <v>-29</v>
      </c>
      <c r="V60">
        <f t="shared" si="16"/>
        <v>197</v>
      </c>
    </row>
    <row r="61" spans="2:22" x14ac:dyDescent="0.15">
      <c r="B61">
        <v>57</v>
      </c>
      <c r="C61">
        <f t="shared" si="0"/>
        <v>3.7699111843077517</v>
      </c>
      <c r="D61">
        <f t="shared" si="1"/>
        <v>0.34549150281252616</v>
      </c>
      <c r="E61">
        <f t="shared" si="2"/>
        <v>-0.13380828366490882</v>
      </c>
      <c r="F61">
        <f t="shared" si="3"/>
        <v>0.9910610210058366</v>
      </c>
      <c r="G61">
        <f t="shared" si="4"/>
        <v>-0.13340934241224944</v>
      </c>
      <c r="H61">
        <f t="shared" si="5"/>
        <v>0.95105651629515353</v>
      </c>
      <c r="I61">
        <f t="shared" si="6"/>
        <v>0.5</v>
      </c>
      <c r="J61">
        <f t="shared" si="7"/>
        <v>27.105110714411875</v>
      </c>
      <c r="K61">
        <v>256</v>
      </c>
      <c r="L61">
        <v>80</v>
      </c>
      <c r="M61">
        <f t="shared" si="8"/>
        <v>0.96499999999999986</v>
      </c>
      <c r="N61">
        <v>192</v>
      </c>
      <c r="O61">
        <f t="shared" si="9"/>
        <v>-6.9135972823773955</v>
      </c>
      <c r="P61">
        <f t="shared" si="10"/>
        <v>115.39149394563302</v>
      </c>
      <c r="Q61">
        <f t="shared" si="11"/>
        <v>-23.205237630375063</v>
      </c>
      <c r="R61">
        <f t="shared" si="12"/>
        <v>-5.634585826603022</v>
      </c>
      <c r="S61">
        <f t="shared" si="13"/>
        <v>262</v>
      </c>
      <c r="T61">
        <f t="shared" si="14"/>
        <v>-36</v>
      </c>
      <c r="U61">
        <f t="shared" si="15"/>
        <v>-24</v>
      </c>
      <c r="V61">
        <f t="shared" si="16"/>
        <v>189</v>
      </c>
    </row>
    <row r="62" spans="2:22" x14ac:dyDescent="0.15">
      <c r="B62">
        <v>58</v>
      </c>
      <c r="C62">
        <f t="shared" si="0"/>
        <v>3.8222710618675819</v>
      </c>
      <c r="D62">
        <f t="shared" si="1"/>
        <v>0.39604415459112052</v>
      </c>
      <c r="E62">
        <f t="shared" si="2"/>
        <v>-9.002840299597753E-2</v>
      </c>
      <c r="F62">
        <f t="shared" si="3"/>
        <v>0.99595017979019074</v>
      </c>
      <c r="G62">
        <f t="shared" si="4"/>
        <v>-8.9906837203222928E-2</v>
      </c>
      <c r="H62">
        <f t="shared" si="5"/>
        <v>0.97814760073380569</v>
      </c>
      <c r="I62">
        <f t="shared" si="6"/>
        <v>0.33333333333333331</v>
      </c>
      <c r="J62">
        <f t="shared" si="7"/>
        <v>18.910853614186909</v>
      </c>
      <c r="K62">
        <v>256</v>
      </c>
      <c r="L62">
        <v>80</v>
      </c>
      <c r="M62">
        <f t="shared" si="8"/>
        <v>0.97666666666666657</v>
      </c>
      <c r="N62">
        <v>192</v>
      </c>
      <c r="O62">
        <f t="shared" si="9"/>
        <v>-5.0545181156541048</v>
      </c>
      <c r="P62">
        <f t="shared" si="10"/>
        <v>103.56602422255126</v>
      </c>
      <c r="Q62">
        <f t="shared" si="11"/>
        <v>-16.610191703574507</v>
      </c>
      <c r="R62">
        <f t="shared" si="12"/>
        <v>-24.442874160468762</v>
      </c>
      <c r="S62">
        <f t="shared" si="13"/>
        <v>261</v>
      </c>
      <c r="T62">
        <f t="shared" si="14"/>
        <v>-24</v>
      </c>
      <c r="U62">
        <f t="shared" si="15"/>
        <v>-17</v>
      </c>
      <c r="V62">
        <f t="shared" si="16"/>
        <v>179</v>
      </c>
    </row>
    <row r="63" spans="2:22" x14ac:dyDescent="0.15">
      <c r="B63">
        <v>59</v>
      </c>
      <c r="C63">
        <f t="shared" si="0"/>
        <v>3.8746309394274117</v>
      </c>
      <c r="D63">
        <f t="shared" si="1"/>
        <v>0.44773576836617329</v>
      </c>
      <c r="E63">
        <f t="shared" si="2"/>
        <v>-4.5262152304168204E-2</v>
      </c>
      <c r="F63">
        <f t="shared" si="3"/>
        <v>0.99897584364819536</v>
      </c>
      <c r="G63">
        <f t="shared" si="4"/>
        <v>-4.5246699408644619E-2</v>
      </c>
      <c r="H63">
        <f t="shared" si="5"/>
        <v>0.99452189536827329</v>
      </c>
      <c r="I63">
        <f t="shared" si="6"/>
        <v>0.16666666666666666</v>
      </c>
      <c r="J63">
        <f t="shared" si="7"/>
        <v>9.7794653044546873</v>
      </c>
      <c r="K63">
        <v>256</v>
      </c>
      <c r="L63">
        <v>80</v>
      </c>
      <c r="M63">
        <f t="shared" si="8"/>
        <v>0.98833333333333329</v>
      </c>
      <c r="N63">
        <v>192</v>
      </c>
      <c r="O63">
        <f t="shared" si="9"/>
        <v>-2.75664348121893</v>
      </c>
      <c r="P63">
        <f t="shared" si="10"/>
        <v>91.719887064363931</v>
      </c>
      <c r="Q63">
        <f t="shared" si="11"/>
        <v>-8.9065914279157141</v>
      </c>
      <c r="R63">
        <f t="shared" si="12"/>
        <v>-44.061275290875834</v>
      </c>
      <c r="S63">
        <f t="shared" si="13"/>
        <v>258</v>
      </c>
      <c r="T63">
        <f t="shared" si="14"/>
        <v>-12</v>
      </c>
      <c r="U63">
        <f t="shared" si="15"/>
        <v>-9</v>
      </c>
      <c r="V63">
        <f t="shared" si="16"/>
        <v>169</v>
      </c>
    </row>
    <row r="64" spans="2:22" x14ac:dyDescent="0.15">
      <c r="B64">
        <v>60</v>
      </c>
      <c r="C64">
        <f t="shared" si="0"/>
        <v>3.926990816987241</v>
      </c>
      <c r="D64">
        <f t="shared" si="1"/>
        <v>0.49999999999999944</v>
      </c>
      <c r="E64">
        <f t="shared" si="2"/>
        <v>-4.8074067159589093E-16</v>
      </c>
      <c r="F64">
        <f t="shared" si="3"/>
        <v>1</v>
      </c>
      <c r="G64">
        <f t="shared" si="4"/>
        <v>-4.8074067159589093E-16</v>
      </c>
      <c r="H64">
        <f t="shared" si="5"/>
        <v>1</v>
      </c>
      <c r="I64">
        <f t="shared" si="6"/>
        <v>0</v>
      </c>
      <c r="J64">
        <f t="shared" si="7"/>
        <v>0</v>
      </c>
      <c r="K64">
        <v>256</v>
      </c>
      <c r="L64">
        <v>80</v>
      </c>
      <c r="M64">
        <f t="shared" si="8"/>
        <v>1</v>
      </c>
      <c r="N64">
        <v>192</v>
      </c>
      <c r="O64">
        <f t="shared" si="9"/>
        <v>0</v>
      </c>
      <c r="P64">
        <f t="shared" si="10"/>
        <v>80.000000000000128</v>
      </c>
      <c r="Q64">
        <f t="shared" si="11"/>
        <v>-6.9226656709808291E-14</v>
      </c>
      <c r="R64">
        <f t="shared" si="12"/>
        <v>-63.999999999999872</v>
      </c>
      <c r="S64">
        <f t="shared" si="13"/>
        <v>256</v>
      </c>
      <c r="T64">
        <f t="shared" si="14"/>
        <v>-1</v>
      </c>
      <c r="U64">
        <f t="shared" si="15"/>
        <v>-1</v>
      </c>
      <c r="V64">
        <f t="shared" si="16"/>
        <v>160</v>
      </c>
    </row>
  </sheetData>
  <mergeCells count="2">
    <mergeCell ref="K2:L2"/>
    <mergeCell ref="H2:J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4"/>
  <sheetViews>
    <sheetView tabSelected="1" topLeftCell="G42" zoomScale="115" zoomScaleNormal="115" workbookViewId="0">
      <selection activeCell="Y70" sqref="Y70"/>
    </sheetView>
  </sheetViews>
  <sheetFormatPr defaultRowHeight="13.5" x14ac:dyDescent="0.15"/>
  <cols>
    <col min="1" max="1" width="3.25" customWidth="1"/>
    <col min="4" max="4" width="13.875" bestFit="1" customWidth="1"/>
    <col min="5" max="5" width="26.5" bestFit="1" customWidth="1"/>
    <col min="8" max="8" width="12.75" bestFit="1" customWidth="1"/>
    <col min="9" max="12" width="12.75" customWidth="1"/>
    <col min="19" max="19" width="13.875" bestFit="1" customWidth="1"/>
  </cols>
  <sheetData>
    <row r="1" spans="2:24" x14ac:dyDescent="0.15">
      <c r="B1" t="s">
        <v>28</v>
      </c>
    </row>
    <row r="2" spans="2:24" x14ac:dyDescent="0.15">
      <c r="H2" s="5" t="s">
        <v>31</v>
      </c>
      <c r="I2" s="5"/>
      <c r="J2" s="5"/>
      <c r="K2" s="5" t="s">
        <v>35</v>
      </c>
      <c r="L2" s="5"/>
      <c r="M2" s="5" t="s">
        <v>14</v>
      </c>
      <c r="N2" s="5"/>
      <c r="O2" s="3"/>
    </row>
    <row r="3" spans="2:24" x14ac:dyDescent="0.15">
      <c r="B3" t="s">
        <v>0</v>
      </c>
      <c r="C3" t="s">
        <v>24</v>
      </c>
      <c r="D3" t="s">
        <v>25</v>
      </c>
      <c r="E3" t="s">
        <v>34</v>
      </c>
      <c r="F3" t="s">
        <v>7</v>
      </c>
      <c r="G3" t="s">
        <v>2</v>
      </c>
      <c r="H3" t="s">
        <v>32</v>
      </c>
      <c r="I3" t="s">
        <v>33</v>
      </c>
      <c r="J3" t="s">
        <v>30</v>
      </c>
      <c r="K3" t="s">
        <v>36</v>
      </c>
      <c r="L3" t="s">
        <v>37</v>
      </c>
      <c r="O3" t="s">
        <v>29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3</v>
      </c>
      <c r="V3" t="s">
        <v>4</v>
      </c>
      <c r="W3" t="s">
        <v>5</v>
      </c>
      <c r="X3" t="s">
        <v>6</v>
      </c>
    </row>
    <row r="4" spans="2:24" x14ac:dyDescent="0.15">
      <c r="B4">
        <v>0</v>
      </c>
      <c r="C4">
        <f>2*PI()*B4/120+PI()/4</f>
        <v>0.78539816339744828</v>
      </c>
      <c r="D4">
        <f>POWER(SIN(C4),2)</f>
        <v>0.49999999999999989</v>
      </c>
      <c r="E4">
        <f>(D4-0.5)*SQRT(3)/2</f>
        <v>-9.6148134319178191E-17</v>
      </c>
      <c r="F4">
        <f>COS(E4)</f>
        <v>1</v>
      </c>
      <c r="G4">
        <f>SIN(E4)</f>
        <v>-9.6148134319178191E-17</v>
      </c>
      <c r="H4">
        <f>ABS(SIN(C4*2))</f>
        <v>1</v>
      </c>
      <c r="I4">
        <f>(60-B4)*10/60</f>
        <v>10</v>
      </c>
      <c r="J4">
        <f>H4*B4*I4</f>
        <v>0</v>
      </c>
      <c r="K4">
        <f>SQRT(60-B4)*120/SQRT(60)</f>
        <v>120</v>
      </c>
      <c r="L4">
        <f>G4*K4</f>
        <v>-1.1537776118301382E-14</v>
      </c>
      <c r="M4">
        <v>256</v>
      </c>
      <c r="N4">
        <v>80</v>
      </c>
      <c r="O4">
        <f>(B4/60)*0.7+0.3</f>
        <v>0.3</v>
      </c>
      <c r="P4">
        <v>192</v>
      </c>
      <c r="Q4">
        <f>M4-F4*256/O4+F4*L4</f>
        <v>-597.33333333333337</v>
      </c>
      <c r="R4">
        <f>N4-G4*256/O4-G4*L4</f>
        <v>80.000000000000085</v>
      </c>
      <c r="S4">
        <f>Q4+G4*144/O4-G4*J4</f>
        <v>-597.33333333333337</v>
      </c>
      <c r="T4">
        <f>R4-F4*144/O4+F4*J4</f>
        <v>-399.99999999999989</v>
      </c>
      <c r="U4">
        <f>INT(F4*256/O4)</f>
        <v>853</v>
      </c>
      <c r="V4">
        <f>INT(G4*256/O4)</f>
        <v>-1</v>
      </c>
      <c r="W4">
        <f>INT(S4)</f>
        <v>-598</v>
      </c>
      <c r="X4">
        <f>INT(T4/2)+P4</f>
        <v>-8</v>
      </c>
    </row>
    <row r="5" spans="2:24" x14ac:dyDescent="0.15">
      <c r="B5">
        <v>1</v>
      </c>
      <c r="C5">
        <f t="shared" ref="C5:C64" si="0">2*PI()*B5/120+PI()/4</f>
        <v>0.83775804095727813</v>
      </c>
      <c r="D5">
        <f t="shared" ref="D5:D64" si="1">POWER(SIN(C5),2)</f>
        <v>0.55226423163382654</v>
      </c>
      <c r="E5">
        <f t="shared" ref="E5:E64" si="2">(D5-0.5)*SQRT(3)/2</f>
        <v>4.5262152304168059E-2</v>
      </c>
      <c r="F5">
        <f t="shared" ref="F5:F64" si="3">COS(E5)</f>
        <v>0.99897584364819536</v>
      </c>
      <c r="G5">
        <f t="shared" ref="G5:G64" si="4">SIN(E5)</f>
        <v>4.5246699408644474E-2</v>
      </c>
      <c r="H5">
        <f t="shared" ref="H5:H64" si="5">ABS(SIN(C5*2))</f>
        <v>0.9945218953682734</v>
      </c>
      <c r="I5">
        <f t="shared" ref="I5:I64" si="6">(60-B5)*10/60</f>
        <v>9.8333333333333339</v>
      </c>
      <c r="J5">
        <f t="shared" ref="J5:J64" si="7">H5*B5*I5</f>
        <v>9.7794653044546891</v>
      </c>
      <c r="K5">
        <f t="shared" ref="K5:K64" si="8">SQRT(60-B5)*120/SQRT(60)</f>
        <v>118.99579824514812</v>
      </c>
      <c r="L5">
        <f t="shared" ref="L5:L64" si="9">G5*K5</f>
        <v>5.3841671140899203</v>
      </c>
      <c r="M5">
        <v>256</v>
      </c>
      <c r="N5">
        <v>80</v>
      </c>
      <c r="O5">
        <f t="shared" ref="O5:O64" si="10">(B5/60)*0.7+0.3</f>
        <v>0.31166666666666665</v>
      </c>
      <c r="P5">
        <v>192</v>
      </c>
      <c r="Q5">
        <f t="shared" ref="Q5:Q64" si="11">M5-F5*256/O5+F5*L5</f>
        <v>-559.17048927722715</v>
      </c>
      <c r="R5">
        <f t="shared" ref="R5:R64" si="12">N5-G5*256/O5-G5*L5</f>
        <v>42.591180844489216</v>
      </c>
      <c r="S5">
        <f t="shared" ref="S5:S64" si="13">Q5+G5*144/O5-G5*J5</f>
        <v>-538.70755091168496</v>
      </c>
      <c r="T5">
        <f t="shared" ref="T5:T64" si="14">R5-F5*144/O5+F5*J5</f>
        <v>-409.19826201889691</v>
      </c>
      <c r="U5">
        <f t="shared" ref="U5:U64" si="15">INT(F5*256/O5)</f>
        <v>820</v>
      </c>
      <c r="V5">
        <f t="shared" ref="V5:V64" si="16">INT(G5*256/O5)</f>
        <v>37</v>
      </c>
      <c r="W5">
        <f t="shared" ref="W5:W64" si="17">INT(S5)</f>
        <v>-539</v>
      </c>
      <c r="X5">
        <f t="shared" ref="X5:X64" si="18">INT(T5/2)+P5</f>
        <v>-13</v>
      </c>
    </row>
    <row r="6" spans="2:24" x14ac:dyDescent="0.15">
      <c r="B6">
        <v>2</v>
      </c>
      <c r="C6">
        <f t="shared" si="0"/>
        <v>0.89011791851710809</v>
      </c>
      <c r="D6">
        <f t="shared" si="1"/>
        <v>0.6039558454088797</v>
      </c>
      <c r="E6">
        <f t="shared" si="2"/>
        <v>9.0028402995977724E-2</v>
      </c>
      <c r="F6">
        <f t="shared" si="3"/>
        <v>0.99595017979019063</v>
      </c>
      <c r="G6">
        <f t="shared" si="4"/>
        <v>8.9906837203223122E-2</v>
      </c>
      <c r="H6">
        <f t="shared" si="5"/>
        <v>0.97814760073380569</v>
      </c>
      <c r="I6">
        <f t="shared" si="6"/>
        <v>9.6666666666666661</v>
      </c>
      <c r="J6">
        <f t="shared" si="7"/>
        <v>18.910853614186909</v>
      </c>
      <c r="K6">
        <f t="shared" si="8"/>
        <v>117.98304963002101</v>
      </c>
      <c r="L6">
        <f t="shared" si="9"/>
        <v>10.607482835826094</v>
      </c>
      <c r="M6">
        <v>256</v>
      </c>
      <c r="N6">
        <v>80</v>
      </c>
      <c r="O6">
        <f t="shared" si="10"/>
        <v>0.32333333333333331</v>
      </c>
      <c r="P6">
        <v>192</v>
      </c>
      <c r="Q6">
        <f t="shared" si="11"/>
        <v>-521.98159729332781</v>
      </c>
      <c r="R6">
        <f t="shared" si="12"/>
        <v>7.8623446932389029</v>
      </c>
      <c r="S6">
        <f t="shared" si="13"/>
        <v>-483.64082916379618</v>
      </c>
      <c r="T6">
        <f t="shared" si="14"/>
        <v>-416.86058072329507</v>
      </c>
      <c r="U6">
        <f t="shared" si="15"/>
        <v>788</v>
      </c>
      <c r="V6">
        <f t="shared" si="16"/>
        <v>71</v>
      </c>
      <c r="W6">
        <f t="shared" si="17"/>
        <v>-484</v>
      </c>
      <c r="X6">
        <f t="shared" si="18"/>
        <v>-17</v>
      </c>
    </row>
    <row r="7" spans="2:24" x14ac:dyDescent="0.15">
      <c r="B7">
        <v>3</v>
      </c>
      <c r="C7">
        <f t="shared" si="0"/>
        <v>0.94247779607693793</v>
      </c>
      <c r="D7">
        <f t="shared" si="1"/>
        <v>0.65450849718747373</v>
      </c>
      <c r="E7">
        <f t="shared" si="2"/>
        <v>0.13380828366490874</v>
      </c>
      <c r="F7">
        <f t="shared" si="3"/>
        <v>0.9910610210058366</v>
      </c>
      <c r="G7">
        <f t="shared" si="4"/>
        <v>0.13340934241224936</v>
      </c>
      <c r="H7">
        <f t="shared" si="5"/>
        <v>0.95105651629515364</v>
      </c>
      <c r="I7">
        <f t="shared" si="6"/>
        <v>9.5</v>
      </c>
      <c r="J7">
        <f t="shared" si="7"/>
        <v>27.105110714411879</v>
      </c>
      <c r="K7">
        <f t="shared" si="8"/>
        <v>116.96153213770756</v>
      </c>
      <c r="L7">
        <f t="shared" si="9"/>
        <v>15.603761090020736</v>
      </c>
      <c r="M7">
        <v>256</v>
      </c>
      <c r="N7">
        <v>80</v>
      </c>
      <c r="O7">
        <f t="shared" si="10"/>
        <v>0.33499999999999996</v>
      </c>
      <c r="P7">
        <v>192</v>
      </c>
      <c r="Q7">
        <f t="shared" si="11"/>
        <v>-485.88384411750093</v>
      </c>
      <c r="R7">
        <f t="shared" si="12"/>
        <v>-24.030319319717329</v>
      </c>
      <c r="S7">
        <f t="shared" si="13"/>
        <v>-432.15381371880568</v>
      </c>
      <c r="T7">
        <f t="shared" si="14"/>
        <v>-423.1758200977518</v>
      </c>
      <c r="U7">
        <f t="shared" si="15"/>
        <v>757</v>
      </c>
      <c r="V7">
        <f t="shared" si="16"/>
        <v>101</v>
      </c>
      <c r="W7">
        <f t="shared" si="17"/>
        <v>-433</v>
      </c>
      <c r="X7">
        <f t="shared" si="18"/>
        <v>-20</v>
      </c>
    </row>
    <row r="8" spans="2:24" x14ac:dyDescent="0.15">
      <c r="B8">
        <v>4</v>
      </c>
      <c r="C8">
        <f t="shared" si="0"/>
        <v>0.99483767363676778</v>
      </c>
      <c r="D8">
        <f t="shared" si="1"/>
        <v>0.70336832153789997</v>
      </c>
      <c r="E8">
        <f t="shared" si="2"/>
        <v>0.17612213277682337</v>
      </c>
      <c r="F8">
        <f t="shared" si="3"/>
        <v>0.98453054652314365</v>
      </c>
      <c r="G8">
        <f t="shared" si="4"/>
        <v>0.17521302167030872</v>
      </c>
      <c r="H8">
        <f t="shared" si="5"/>
        <v>0.91354545764260098</v>
      </c>
      <c r="I8">
        <f t="shared" si="6"/>
        <v>9.3333333333333339</v>
      </c>
      <c r="J8">
        <f t="shared" si="7"/>
        <v>34.105697085323769</v>
      </c>
      <c r="K8">
        <f t="shared" si="8"/>
        <v>115.93101396951549</v>
      </c>
      <c r="L8">
        <f t="shared" si="9"/>
        <v>20.312623262901582</v>
      </c>
      <c r="M8">
        <v>256</v>
      </c>
      <c r="N8">
        <v>80</v>
      </c>
      <c r="O8">
        <f t="shared" si="10"/>
        <v>0.34666666666666668</v>
      </c>
      <c r="P8">
        <v>192</v>
      </c>
      <c r="Q8">
        <f t="shared" si="11"/>
        <v>-451.03954396551671</v>
      </c>
      <c r="R8">
        <f t="shared" si="12"/>
        <v>-52.947113641094653</v>
      </c>
      <c r="S8">
        <f t="shared" si="13"/>
        <v>-384.23451259111107</v>
      </c>
      <c r="T8">
        <f t="shared" si="14"/>
        <v>-428.32785545204922</v>
      </c>
      <c r="U8">
        <f t="shared" si="15"/>
        <v>727</v>
      </c>
      <c r="V8">
        <f t="shared" si="16"/>
        <v>129</v>
      </c>
      <c r="W8">
        <f t="shared" si="17"/>
        <v>-385</v>
      </c>
      <c r="X8">
        <f t="shared" si="18"/>
        <v>-23</v>
      </c>
    </row>
    <row r="9" spans="2:24" x14ac:dyDescent="0.15">
      <c r="B9">
        <v>5</v>
      </c>
      <c r="C9">
        <f t="shared" si="0"/>
        <v>1.0471975511965976</v>
      </c>
      <c r="D9">
        <f t="shared" si="1"/>
        <v>0.74999999999999989</v>
      </c>
      <c r="E9">
        <f t="shared" si="2"/>
        <v>0.21650635094610957</v>
      </c>
      <c r="F9">
        <f t="shared" si="3"/>
        <v>0.97665390980290667</v>
      </c>
      <c r="G9">
        <f t="shared" si="4"/>
        <v>0.21481885500741271</v>
      </c>
      <c r="H9">
        <f t="shared" si="5"/>
        <v>0.86602540378443871</v>
      </c>
      <c r="I9">
        <f t="shared" si="6"/>
        <v>9.1666666666666661</v>
      </c>
      <c r="J9">
        <f t="shared" si="7"/>
        <v>39.692831006786776</v>
      </c>
      <c r="K9">
        <f t="shared" si="8"/>
        <v>114.89125293076056</v>
      </c>
      <c r="L9">
        <f t="shared" si="9"/>
        <v>24.680807404953033</v>
      </c>
      <c r="M9">
        <v>256</v>
      </c>
      <c r="N9">
        <v>80</v>
      </c>
      <c r="O9">
        <f t="shared" si="10"/>
        <v>0.35833333333333334</v>
      </c>
      <c r="P9">
        <v>192</v>
      </c>
      <c r="Q9">
        <f t="shared" si="11"/>
        <v>-417.63511641935526</v>
      </c>
      <c r="R9">
        <f t="shared" si="12"/>
        <v>-78.772489434546728</v>
      </c>
      <c r="S9">
        <f t="shared" si="13"/>
        <v>-339.83467993921056</v>
      </c>
      <c r="T9">
        <f t="shared" si="14"/>
        <v>-432.48492529165094</v>
      </c>
      <c r="U9">
        <f t="shared" si="15"/>
        <v>697</v>
      </c>
      <c r="V9">
        <f t="shared" si="16"/>
        <v>153</v>
      </c>
      <c r="W9">
        <f t="shared" si="17"/>
        <v>-340</v>
      </c>
      <c r="X9">
        <f t="shared" si="18"/>
        <v>-25</v>
      </c>
    </row>
    <row r="10" spans="2:24" x14ac:dyDescent="0.15">
      <c r="B10">
        <v>6</v>
      </c>
      <c r="C10">
        <f t="shared" si="0"/>
        <v>1.0995574287564276</v>
      </c>
      <c r="D10">
        <f t="shared" si="1"/>
        <v>0.79389262614623646</v>
      </c>
      <c r="E10">
        <f t="shared" si="2"/>
        <v>0.25451848022756346</v>
      </c>
      <c r="F10">
        <f t="shared" si="3"/>
        <v>0.96778464465381719</v>
      </c>
      <c r="G10">
        <f t="shared" si="4"/>
        <v>0.25177943039947631</v>
      </c>
      <c r="H10">
        <f t="shared" si="5"/>
        <v>0.80901699437494745</v>
      </c>
      <c r="I10">
        <f t="shared" si="6"/>
        <v>9</v>
      </c>
      <c r="J10">
        <f t="shared" si="7"/>
        <v>43.686917696247164</v>
      </c>
      <c r="K10">
        <f t="shared" si="8"/>
        <v>113.84199576606166</v>
      </c>
      <c r="L10">
        <f t="shared" si="9"/>
        <v>28.663072849518599</v>
      </c>
      <c r="M10">
        <v>256</v>
      </c>
      <c r="N10">
        <v>80</v>
      </c>
      <c r="O10">
        <f t="shared" si="10"/>
        <v>0.37</v>
      </c>
      <c r="P10">
        <v>192</v>
      </c>
      <c r="Q10">
        <f t="shared" si="11"/>
        <v>-385.86266696109408</v>
      </c>
      <c r="R10">
        <f t="shared" si="12"/>
        <v>-101.42091859410708</v>
      </c>
      <c r="S10">
        <f t="shared" si="13"/>
        <v>-298.87230184287591</v>
      </c>
      <c r="T10">
        <f t="shared" si="14"/>
        <v>-435.79271163799064</v>
      </c>
      <c r="U10">
        <f t="shared" si="15"/>
        <v>669</v>
      </c>
      <c r="V10">
        <f t="shared" si="16"/>
        <v>174</v>
      </c>
      <c r="W10">
        <f t="shared" si="17"/>
        <v>-299</v>
      </c>
      <c r="X10">
        <f t="shared" si="18"/>
        <v>-26</v>
      </c>
    </row>
    <row r="11" spans="2:24" x14ac:dyDescent="0.15">
      <c r="B11">
        <v>7</v>
      </c>
      <c r="C11">
        <f t="shared" si="0"/>
        <v>1.1519173063162575</v>
      </c>
      <c r="D11">
        <f t="shared" si="1"/>
        <v>0.83456530317942901</v>
      </c>
      <c r="E11">
        <f t="shared" si="2"/>
        <v>0.28974205177822815</v>
      </c>
      <c r="F11">
        <f t="shared" si="3"/>
        <v>0.95831760450038384</v>
      </c>
      <c r="G11">
        <f t="shared" si="4"/>
        <v>0.28570503829062205</v>
      </c>
      <c r="H11">
        <f t="shared" si="5"/>
        <v>0.74314482547739424</v>
      </c>
      <c r="I11">
        <f t="shared" si="6"/>
        <v>8.8333333333333339</v>
      </c>
      <c r="J11">
        <f t="shared" si="7"/>
        <v>45.951121708685548</v>
      </c>
      <c r="K11">
        <f t="shared" si="8"/>
        <v>112.78297743897346</v>
      </c>
      <c r="L11">
        <f t="shared" si="9"/>
        <v>32.222664887732279</v>
      </c>
      <c r="M11">
        <v>256</v>
      </c>
      <c r="N11">
        <v>80</v>
      </c>
      <c r="O11">
        <f t="shared" si="10"/>
        <v>0.38166666666666665</v>
      </c>
      <c r="P11">
        <v>192</v>
      </c>
      <c r="Q11">
        <f t="shared" si="11"/>
        <v>-355.90466280499493</v>
      </c>
      <c r="R11">
        <f t="shared" si="12"/>
        <v>-120.84064880356472</v>
      </c>
      <c r="S11">
        <f t="shared" si="13"/>
        <v>-261.23873979965299</v>
      </c>
      <c r="T11">
        <f t="shared" si="14"/>
        <v>-438.37099795343067</v>
      </c>
      <c r="U11">
        <f t="shared" si="15"/>
        <v>642</v>
      </c>
      <c r="V11">
        <f t="shared" si="16"/>
        <v>191</v>
      </c>
      <c r="W11">
        <f t="shared" si="17"/>
        <v>-262</v>
      </c>
      <c r="X11">
        <f t="shared" si="18"/>
        <v>-28</v>
      </c>
    </row>
    <row r="12" spans="2:24" x14ac:dyDescent="0.15">
      <c r="B12">
        <v>8</v>
      </c>
      <c r="C12">
        <f t="shared" si="0"/>
        <v>1.2042771838760873</v>
      </c>
      <c r="D12">
        <f t="shared" si="1"/>
        <v>0.87157241273869712</v>
      </c>
      <c r="E12">
        <f t="shared" si="2"/>
        <v>0.32179114877718823</v>
      </c>
      <c r="F12">
        <f t="shared" si="3"/>
        <v>0.94867046019857504</v>
      </c>
      <c r="G12">
        <f t="shared" si="4"/>
        <v>0.31626627696708964</v>
      </c>
      <c r="H12">
        <f t="shared" si="5"/>
        <v>0.66913060635885835</v>
      </c>
      <c r="I12">
        <f t="shared" si="6"/>
        <v>8.6666666666666661</v>
      </c>
      <c r="J12">
        <f t="shared" si="7"/>
        <v>46.393055374214178</v>
      </c>
      <c r="K12">
        <f t="shared" si="8"/>
        <v>111.71392035015153</v>
      </c>
      <c r="L12">
        <f t="shared" si="9"/>
        <v>35.331345674540415</v>
      </c>
      <c r="M12">
        <v>256</v>
      </c>
      <c r="N12">
        <v>80</v>
      </c>
      <c r="O12">
        <f t="shared" si="10"/>
        <v>0.39333333333333331</v>
      </c>
      <c r="P12">
        <v>192</v>
      </c>
      <c r="Q12">
        <f t="shared" si="11"/>
        <v>-327.92195318569009</v>
      </c>
      <c r="R12">
        <f t="shared" si="12"/>
        <v>-137.01521545394866</v>
      </c>
      <c r="S12">
        <f t="shared" si="13"/>
        <v>-226.80889204383206</v>
      </c>
      <c r="T12">
        <f t="shared" si="14"/>
        <v>-440.31335765680751</v>
      </c>
      <c r="U12">
        <f t="shared" si="15"/>
        <v>617</v>
      </c>
      <c r="V12">
        <f t="shared" si="16"/>
        <v>205</v>
      </c>
      <c r="W12">
        <f t="shared" si="17"/>
        <v>-227</v>
      </c>
      <c r="X12">
        <f t="shared" si="18"/>
        <v>-29</v>
      </c>
    </row>
    <row r="13" spans="2:24" x14ac:dyDescent="0.15">
      <c r="B13">
        <v>9</v>
      </c>
      <c r="C13">
        <f t="shared" si="0"/>
        <v>1.2566370614359172</v>
      </c>
      <c r="D13">
        <f t="shared" si="1"/>
        <v>0.90450849718747361</v>
      </c>
      <c r="E13">
        <f t="shared" si="2"/>
        <v>0.35031463461101831</v>
      </c>
      <c r="F13">
        <f t="shared" si="3"/>
        <v>0.93926477883431958</v>
      </c>
      <c r="G13">
        <f t="shared" si="4"/>
        <v>0.34319334964610926</v>
      </c>
      <c r="H13">
        <f t="shared" si="5"/>
        <v>0.58778525229247325</v>
      </c>
      <c r="I13">
        <f t="shared" si="6"/>
        <v>8.5</v>
      </c>
      <c r="J13">
        <f t="shared" si="7"/>
        <v>44.965571800374207</v>
      </c>
      <c r="K13">
        <f t="shared" si="8"/>
        <v>110.63453348751464</v>
      </c>
      <c r="L13">
        <f t="shared" si="9"/>
        <v>37.969036134114795</v>
      </c>
      <c r="M13">
        <v>256</v>
      </c>
      <c r="N13">
        <v>80</v>
      </c>
      <c r="O13">
        <f t="shared" si="10"/>
        <v>0.40499999999999997</v>
      </c>
      <c r="P13">
        <v>192</v>
      </c>
      <c r="Q13">
        <f t="shared" si="11"/>
        <v>-302.04512878796515</v>
      </c>
      <c r="R13">
        <f t="shared" si="12"/>
        <v>-149.96281330951331</v>
      </c>
      <c r="S13">
        <f t="shared" si="13"/>
        <v>-195.45271189649378</v>
      </c>
      <c r="T13">
        <f t="shared" si="14"/>
        <v>-441.68904570947865</v>
      </c>
      <c r="U13">
        <f t="shared" si="15"/>
        <v>593</v>
      </c>
      <c r="V13">
        <f t="shared" si="16"/>
        <v>216</v>
      </c>
      <c r="W13">
        <f t="shared" si="17"/>
        <v>-196</v>
      </c>
      <c r="X13">
        <f t="shared" si="18"/>
        <v>-29</v>
      </c>
    </row>
    <row r="14" spans="2:24" x14ac:dyDescent="0.15">
      <c r="B14">
        <v>10</v>
      </c>
      <c r="C14">
        <f t="shared" si="0"/>
        <v>1.308996938995747</v>
      </c>
      <c r="D14">
        <f t="shared" si="1"/>
        <v>0.93301270189221919</v>
      </c>
      <c r="E14">
        <f t="shared" si="2"/>
        <v>0.37499999999999983</v>
      </c>
      <c r="F14">
        <f t="shared" si="3"/>
        <v>0.9305076219123144</v>
      </c>
      <c r="G14">
        <f t="shared" si="4"/>
        <v>0.3662725290860474</v>
      </c>
      <c r="H14">
        <f t="shared" si="5"/>
        <v>0.50000000000000033</v>
      </c>
      <c r="I14">
        <f t="shared" si="6"/>
        <v>8.3333333333333339</v>
      </c>
      <c r="J14">
        <f t="shared" si="7"/>
        <v>41.6666666666667</v>
      </c>
      <c r="K14">
        <f t="shared" si="8"/>
        <v>109.54451150103323</v>
      </c>
      <c r="L14">
        <f t="shared" si="9"/>
        <v>40.123145274979045</v>
      </c>
      <c r="M14">
        <v>256</v>
      </c>
      <c r="N14">
        <v>80</v>
      </c>
      <c r="O14">
        <f t="shared" si="10"/>
        <v>0.41666666666666663</v>
      </c>
      <c r="P14">
        <v>192</v>
      </c>
      <c r="Q14">
        <f t="shared" si="11"/>
        <v>-278.36899040946292</v>
      </c>
      <c r="R14">
        <f t="shared" si="12"/>
        <v>-159.73384776522101</v>
      </c>
      <c r="S14">
        <f t="shared" si="13"/>
        <v>-167.04655973591025</v>
      </c>
      <c r="T14">
        <f t="shared" si="14"/>
        <v>-442.54613098510379</v>
      </c>
      <c r="U14">
        <f t="shared" si="15"/>
        <v>571</v>
      </c>
      <c r="V14">
        <f t="shared" si="16"/>
        <v>225</v>
      </c>
      <c r="W14">
        <f t="shared" si="17"/>
        <v>-168</v>
      </c>
      <c r="X14">
        <f t="shared" si="18"/>
        <v>-30</v>
      </c>
    </row>
    <row r="15" spans="2:24" x14ac:dyDescent="0.15">
      <c r="B15">
        <v>11</v>
      </c>
      <c r="C15">
        <f t="shared" si="0"/>
        <v>1.3613568165555769</v>
      </c>
      <c r="D15">
        <f t="shared" si="1"/>
        <v>0.95677272882130038</v>
      </c>
      <c r="E15">
        <f t="shared" si="2"/>
        <v>0.39557678691518655</v>
      </c>
      <c r="F15">
        <f t="shared" si="3"/>
        <v>0.92277445851456674</v>
      </c>
      <c r="G15">
        <f t="shared" si="4"/>
        <v>0.38534049711021567</v>
      </c>
      <c r="H15">
        <f t="shared" si="5"/>
        <v>0.40673664307580043</v>
      </c>
      <c r="I15">
        <f t="shared" si="6"/>
        <v>8.1666666666666661</v>
      </c>
      <c r="J15">
        <f t="shared" si="7"/>
        <v>36.538508436309399</v>
      </c>
      <c r="K15">
        <f t="shared" si="8"/>
        <v>108.44353369380767</v>
      </c>
      <c r="L15">
        <f t="shared" si="9"/>
        <v>41.787685181960271</v>
      </c>
      <c r="M15">
        <v>256</v>
      </c>
      <c r="N15">
        <v>80</v>
      </c>
      <c r="O15">
        <f t="shared" si="10"/>
        <v>0.42833333333333334</v>
      </c>
      <c r="P15">
        <v>192</v>
      </c>
      <c r="Q15">
        <f t="shared" si="11"/>
        <v>-256.94972928514699</v>
      </c>
      <c r="R15">
        <f t="shared" si="12"/>
        <v>-166.40715802751859</v>
      </c>
      <c r="S15">
        <f t="shared" si="13"/>
        <v>-141.48311905105081</v>
      </c>
      <c r="T15">
        <f t="shared" si="14"/>
        <v>-442.91492073174629</v>
      </c>
      <c r="U15">
        <f t="shared" si="15"/>
        <v>551</v>
      </c>
      <c r="V15">
        <f t="shared" si="16"/>
        <v>230</v>
      </c>
      <c r="W15">
        <f t="shared" si="17"/>
        <v>-142</v>
      </c>
      <c r="X15">
        <f t="shared" si="18"/>
        <v>-30</v>
      </c>
    </row>
    <row r="16" spans="2:24" x14ac:dyDescent="0.15">
      <c r="B16">
        <v>12</v>
      </c>
      <c r="C16">
        <f t="shared" si="0"/>
        <v>1.4137166941154069</v>
      </c>
      <c r="D16">
        <f t="shared" si="1"/>
        <v>0.97552825814757682</v>
      </c>
      <c r="E16">
        <f t="shared" si="2"/>
        <v>0.41181955177316598</v>
      </c>
      <c r="F16">
        <f t="shared" si="3"/>
        <v>0.91639401472026416</v>
      </c>
      <c r="G16">
        <f t="shared" si="4"/>
        <v>0.40027741603152722</v>
      </c>
      <c r="H16">
        <f t="shared" si="5"/>
        <v>0.30901699437494751</v>
      </c>
      <c r="I16">
        <f t="shared" si="6"/>
        <v>8</v>
      </c>
      <c r="J16">
        <f t="shared" si="7"/>
        <v>29.665631459994962</v>
      </c>
      <c r="K16">
        <f t="shared" si="8"/>
        <v>107.3312629199899</v>
      </c>
      <c r="L16">
        <f t="shared" si="9"/>
        <v>42.962280581014028</v>
      </c>
      <c r="M16">
        <v>256</v>
      </c>
      <c r="N16">
        <v>80</v>
      </c>
      <c r="O16">
        <f t="shared" si="10"/>
        <v>0.43999999999999995</v>
      </c>
      <c r="P16">
        <v>192</v>
      </c>
      <c r="Q16">
        <f t="shared" si="11"/>
        <v>-237.80432269043436</v>
      </c>
      <c r="R16">
        <f t="shared" si="12"/>
        <v>-170.08550907613289</v>
      </c>
      <c r="S16">
        <f t="shared" si="13"/>
        <v>-118.6789233858667</v>
      </c>
      <c r="T16">
        <f t="shared" si="14"/>
        <v>-442.81087041720099</v>
      </c>
      <c r="U16">
        <f t="shared" si="15"/>
        <v>533</v>
      </c>
      <c r="V16">
        <f t="shared" si="16"/>
        <v>232</v>
      </c>
      <c r="W16">
        <f t="shared" si="17"/>
        <v>-119</v>
      </c>
      <c r="X16">
        <f t="shared" si="18"/>
        <v>-30</v>
      </c>
    </row>
    <row r="17" spans="2:24" x14ac:dyDescent="0.15">
      <c r="B17">
        <v>13</v>
      </c>
      <c r="C17">
        <f t="shared" si="0"/>
        <v>1.4660765716752369</v>
      </c>
      <c r="D17">
        <f t="shared" si="1"/>
        <v>0.98907380036690273</v>
      </c>
      <c r="E17">
        <f t="shared" si="2"/>
        <v>0.42355033544313686</v>
      </c>
      <c r="F17">
        <f t="shared" si="3"/>
        <v>0.91163550228179957</v>
      </c>
      <c r="G17">
        <f t="shared" si="4"/>
        <v>0.41099964839329378</v>
      </c>
      <c r="H17">
        <f t="shared" si="5"/>
        <v>0.20791169081775931</v>
      </c>
      <c r="I17">
        <f t="shared" si="6"/>
        <v>7.833333333333333</v>
      </c>
      <c r="J17">
        <f t="shared" si="7"/>
        <v>21.172340514941823</v>
      </c>
      <c r="K17">
        <f t="shared" si="8"/>
        <v>106.20734437881403</v>
      </c>
      <c r="L17">
        <f t="shared" si="9"/>
        <v>43.651181196478035</v>
      </c>
      <c r="M17">
        <v>256</v>
      </c>
      <c r="N17">
        <v>80</v>
      </c>
      <c r="O17">
        <f t="shared" si="10"/>
        <v>0.45166666666666666</v>
      </c>
      <c r="P17">
        <v>192</v>
      </c>
      <c r="Q17">
        <f t="shared" si="11"/>
        <v>-220.91161708587816</v>
      </c>
      <c r="R17">
        <f t="shared" si="12"/>
        <v>-170.89097434219124</v>
      </c>
      <c r="S17">
        <f t="shared" si="13"/>
        <v>-98.578867345283513</v>
      </c>
      <c r="T17">
        <f t="shared" si="14"/>
        <v>-442.23640782675284</v>
      </c>
      <c r="U17">
        <f t="shared" si="15"/>
        <v>516</v>
      </c>
      <c r="V17">
        <f t="shared" si="16"/>
        <v>232</v>
      </c>
      <c r="W17">
        <f t="shared" si="17"/>
        <v>-99</v>
      </c>
      <c r="X17">
        <f t="shared" si="18"/>
        <v>-30</v>
      </c>
    </row>
    <row r="18" spans="2:24" x14ac:dyDescent="0.15">
      <c r="B18">
        <v>14</v>
      </c>
      <c r="C18">
        <f t="shared" si="0"/>
        <v>1.5184364492350668</v>
      </c>
      <c r="D18">
        <f t="shared" si="1"/>
        <v>0.99726094768413653</v>
      </c>
      <c r="E18">
        <f t="shared" si="2"/>
        <v>0.43064061300438694</v>
      </c>
      <c r="F18">
        <f t="shared" si="3"/>
        <v>0.90869851032300752</v>
      </c>
      <c r="G18">
        <f t="shared" si="4"/>
        <v>0.41745301213040364</v>
      </c>
      <c r="H18">
        <f t="shared" si="5"/>
        <v>0.10452846326765329</v>
      </c>
      <c r="I18">
        <f t="shared" si="6"/>
        <v>7.666666666666667</v>
      </c>
      <c r="J18">
        <f t="shared" si="7"/>
        <v>11.21938839072812</v>
      </c>
      <c r="K18">
        <f t="shared" si="8"/>
        <v>105.07140429250957</v>
      </c>
      <c r="L18">
        <f t="shared" si="9"/>
        <v>43.86237421067954</v>
      </c>
      <c r="M18">
        <v>256</v>
      </c>
      <c r="N18">
        <v>80</v>
      </c>
      <c r="O18">
        <f t="shared" si="10"/>
        <v>0.46333333333333332</v>
      </c>
      <c r="P18">
        <v>192</v>
      </c>
      <c r="Q18">
        <f t="shared" si="11"/>
        <v>-206.214596347374</v>
      </c>
      <c r="R18">
        <f t="shared" si="12"/>
        <v>-168.96077758318731</v>
      </c>
      <c r="S18">
        <f t="shared" si="13"/>
        <v>-81.157371566110982</v>
      </c>
      <c r="T18">
        <f t="shared" si="14"/>
        <v>-441.18138819496232</v>
      </c>
      <c r="U18">
        <f t="shared" si="15"/>
        <v>502</v>
      </c>
      <c r="V18">
        <f t="shared" si="16"/>
        <v>230</v>
      </c>
      <c r="W18">
        <f t="shared" si="17"/>
        <v>-82</v>
      </c>
      <c r="X18">
        <f t="shared" si="18"/>
        <v>-29</v>
      </c>
    </row>
    <row r="19" spans="2:24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0.4330127018922193</v>
      </c>
      <c r="F19">
        <f t="shared" si="3"/>
        <v>0.90770571906660835</v>
      </c>
      <c r="G19">
        <f t="shared" si="4"/>
        <v>0.41960734928474686</v>
      </c>
      <c r="H19" s="4">
        <f t="shared" si="5"/>
        <v>1.22514845490862E-16</v>
      </c>
      <c r="I19">
        <f t="shared" si="6"/>
        <v>7.5</v>
      </c>
      <c r="J19">
        <f t="shared" si="7"/>
        <v>1.3782920117721975E-14</v>
      </c>
      <c r="K19">
        <f t="shared" si="8"/>
        <v>103.92304845413264</v>
      </c>
      <c r="L19">
        <f t="shared" si="9"/>
        <v>43.606874891428909</v>
      </c>
      <c r="M19">
        <v>256</v>
      </c>
      <c r="N19">
        <v>80</v>
      </c>
      <c r="O19">
        <f t="shared" si="10"/>
        <v>0.47499999999999998</v>
      </c>
      <c r="P19">
        <v>192</v>
      </c>
      <c r="Q19">
        <f t="shared" si="11"/>
        <v>-193.62339886211581</v>
      </c>
      <c r="R19">
        <f t="shared" si="12"/>
        <v>-164.44404185093185</v>
      </c>
      <c r="S19">
        <f t="shared" si="13"/>
        <v>-66.416118236845165</v>
      </c>
      <c r="T19">
        <f t="shared" si="14"/>
        <v>-439.62219668375627</v>
      </c>
      <c r="U19">
        <f t="shared" si="15"/>
        <v>489</v>
      </c>
      <c r="V19">
        <f t="shared" si="16"/>
        <v>226</v>
      </c>
      <c r="W19">
        <f t="shared" si="17"/>
        <v>-67</v>
      </c>
      <c r="X19">
        <f t="shared" si="18"/>
        <v>-28</v>
      </c>
    </row>
    <row r="20" spans="2:24" x14ac:dyDescent="0.15">
      <c r="B20">
        <v>16</v>
      </c>
      <c r="C20">
        <f t="shared" si="0"/>
        <v>1.6231562043547263</v>
      </c>
      <c r="D20">
        <f t="shared" si="1"/>
        <v>0.99726094768413653</v>
      </c>
      <c r="E20">
        <f t="shared" si="2"/>
        <v>0.43064061300438694</v>
      </c>
      <c r="F20">
        <f t="shared" si="3"/>
        <v>0.90869851032300752</v>
      </c>
      <c r="G20">
        <f t="shared" si="4"/>
        <v>0.41745301213040364</v>
      </c>
      <c r="H20">
        <f t="shared" si="5"/>
        <v>0.10452846326765305</v>
      </c>
      <c r="I20">
        <f t="shared" si="6"/>
        <v>7.333333333333333</v>
      </c>
      <c r="J20">
        <f t="shared" si="7"/>
        <v>12.264673023404624</v>
      </c>
      <c r="K20">
        <f t="shared" si="8"/>
        <v>102.76186062932103</v>
      </c>
      <c r="L20">
        <f t="shared" si="9"/>
        <v>42.898248251834801</v>
      </c>
      <c r="M20">
        <v>256</v>
      </c>
      <c r="N20">
        <v>80</v>
      </c>
      <c r="O20">
        <f t="shared" si="10"/>
        <v>0.48666666666666664</v>
      </c>
      <c r="P20">
        <v>192</v>
      </c>
      <c r="Q20">
        <f t="shared" si="11"/>
        <v>-183.01873799759105</v>
      </c>
      <c r="R20">
        <f t="shared" si="12"/>
        <v>-157.49972439726409</v>
      </c>
      <c r="S20">
        <f t="shared" si="13"/>
        <v>-64.618319378708293</v>
      </c>
      <c r="T20">
        <f t="shared" si="14"/>
        <v>-415.23000994851617</v>
      </c>
      <c r="U20">
        <f t="shared" si="15"/>
        <v>478</v>
      </c>
      <c r="V20">
        <f t="shared" si="16"/>
        <v>219</v>
      </c>
      <c r="W20">
        <f t="shared" si="17"/>
        <v>-65</v>
      </c>
      <c r="X20">
        <f t="shared" si="18"/>
        <v>-16</v>
      </c>
    </row>
    <row r="21" spans="2:24" x14ac:dyDescent="0.15">
      <c r="B21">
        <v>17</v>
      </c>
      <c r="C21">
        <f t="shared" si="0"/>
        <v>1.6755160819145565</v>
      </c>
      <c r="D21">
        <f t="shared" si="1"/>
        <v>0.98907380036690273</v>
      </c>
      <c r="E21">
        <f t="shared" si="2"/>
        <v>0.42355033544313686</v>
      </c>
      <c r="F21">
        <f t="shared" si="3"/>
        <v>0.91163550228179957</v>
      </c>
      <c r="G21">
        <f t="shared" si="4"/>
        <v>0.41099964839329378</v>
      </c>
      <c r="H21">
        <f t="shared" si="5"/>
        <v>0.20791169081775951</v>
      </c>
      <c r="I21">
        <f t="shared" si="6"/>
        <v>7.166666666666667</v>
      </c>
      <c r="J21">
        <f t="shared" si="7"/>
        <v>25.330574331297036</v>
      </c>
      <c r="K21">
        <f t="shared" si="8"/>
        <v>101.58740079360234</v>
      </c>
      <c r="L21">
        <f t="shared" si="9"/>
        <v>41.752386007359178</v>
      </c>
      <c r="M21">
        <v>256</v>
      </c>
      <c r="N21">
        <v>80</v>
      </c>
      <c r="O21">
        <f t="shared" si="10"/>
        <v>0.49833333333333329</v>
      </c>
      <c r="P21">
        <v>192</v>
      </c>
      <c r="Q21">
        <f t="shared" si="11"/>
        <v>-174.2554812411002</v>
      </c>
      <c r="R21">
        <f t="shared" si="12"/>
        <v>-148.29582129706702</v>
      </c>
      <c r="S21">
        <f t="shared" si="13"/>
        <v>-65.902560387603998</v>
      </c>
      <c r="T21">
        <f t="shared" si="14"/>
        <v>-388.6326921730589</v>
      </c>
      <c r="U21">
        <f t="shared" si="15"/>
        <v>468</v>
      </c>
      <c r="V21">
        <f t="shared" si="16"/>
        <v>211</v>
      </c>
      <c r="W21">
        <f t="shared" si="17"/>
        <v>-66</v>
      </c>
      <c r="X21">
        <f t="shared" si="18"/>
        <v>-3</v>
      </c>
    </row>
    <row r="22" spans="2:24" x14ac:dyDescent="0.15">
      <c r="B22">
        <v>18</v>
      </c>
      <c r="C22">
        <f t="shared" si="0"/>
        <v>1.7278759594743862</v>
      </c>
      <c r="D22">
        <f t="shared" si="1"/>
        <v>0.97552825814757682</v>
      </c>
      <c r="E22">
        <f t="shared" si="2"/>
        <v>0.41181955177316598</v>
      </c>
      <c r="F22">
        <f t="shared" si="3"/>
        <v>0.91639401472026416</v>
      </c>
      <c r="G22">
        <f t="shared" si="4"/>
        <v>0.40027741603152722</v>
      </c>
      <c r="H22">
        <f t="shared" si="5"/>
        <v>0.30901699437494728</v>
      </c>
      <c r="I22">
        <f t="shared" si="6"/>
        <v>7</v>
      </c>
      <c r="J22">
        <f t="shared" si="7"/>
        <v>38.936141291243359</v>
      </c>
      <c r="K22">
        <f t="shared" si="8"/>
        <v>100.39920318408907</v>
      </c>
      <c r="L22">
        <f t="shared" si="9"/>
        <v>40.187533622151456</v>
      </c>
      <c r="M22">
        <v>256</v>
      </c>
      <c r="N22">
        <v>80</v>
      </c>
      <c r="O22">
        <f t="shared" si="10"/>
        <v>0.51</v>
      </c>
      <c r="P22">
        <v>192</v>
      </c>
      <c r="Q22">
        <f t="shared" si="11"/>
        <v>-167.16624309167855</v>
      </c>
      <c r="R22">
        <f t="shared" si="12"/>
        <v>-137.00972780921171</v>
      </c>
      <c r="S22">
        <f t="shared" si="13"/>
        <v>-69.73199541495643</v>
      </c>
      <c r="T22">
        <f t="shared" si="14"/>
        <v>-360.07542630639421</v>
      </c>
      <c r="U22">
        <f t="shared" si="15"/>
        <v>459</v>
      </c>
      <c r="V22">
        <f t="shared" si="16"/>
        <v>200</v>
      </c>
      <c r="W22">
        <f t="shared" si="17"/>
        <v>-70</v>
      </c>
      <c r="X22">
        <f t="shared" si="18"/>
        <v>11</v>
      </c>
    </row>
    <row r="23" spans="2:24" x14ac:dyDescent="0.15">
      <c r="B23">
        <v>19</v>
      </c>
      <c r="C23">
        <f t="shared" si="0"/>
        <v>1.780235837034216</v>
      </c>
      <c r="D23">
        <f t="shared" si="1"/>
        <v>0.9567727288213006</v>
      </c>
      <c r="E23">
        <f t="shared" si="2"/>
        <v>0.39557678691518672</v>
      </c>
      <c r="F23">
        <f t="shared" si="3"/>
        <v>0.92277445851456663</v>
      </c>
      <c r="G23">
        <f t="shared" si="4"/>
        <v>0.38534049711021584</v>
      </c>
      <c r="H23">
        <f t="shared" si="5"/>
        <v>0.40673664307579982</v>
      </c>
      <c r="I23">
        <f t="shared" si="6"/>
        <v>6.833333333333333</v>
      </c>
      <c r="J23">
        <f t="shared" si="7"/>
        <v>52.807974159341342</v>
      </c>
      <c r="K23">
        <f t="shared" si="8"/>
        <v>99.196774141097947</v>
      </c>
      <c r="L23">
        <f t="shared" si="9"/>
        <v>38.224534259260487</v>
      </c>
      <c r="M23">
        <v>256</v>
      </c>
      <c r="N23">
        <v>80</v>
      </c>
      <c r="O23">
        <f t="shared" si="10"/>
        <v>0.52166666666666661</v>
      </c>
      <c r="P23">
        <v>192</v>
      </c>
      <c r="Q23">
        <f t="shared" si="11"/>
        <v>-161.5649378472188</v>
      </c>
      <c r="R23">
        <f t="shared" si="12"/>
        <v>-123.82946217106276</v>
      </c>
      <c r="S23">
        <f t="shared" si="13"/>
        <v>-75.545238221154349</v>
      </c>
      <c r="T23">
        <f t="shared" si="14"/>
        <v>-329.8207408954575</v>
      </c>
      <c r="U23">
        <f t="shared" si="15"/>
        <v>452</v>
      </c>
      <c r="V23">
        <f t="shared" si="16"/>
        <v>189</v>
      </c>
      <c r="W23">
        <f t="shared" si="17"/>
        <v>-76</v>
      </c>
      <c r="X23">
        <f t="shared" si="18"/>
        <v>27</v>
      </c>
    </row>
    <row r="24" spans="2:24" x14ac:dyDescent="0.15">
      <c r="B24">
        <v>20</v>
      </c>
      <c r="C24">
        <f t="shared" si="0"/>
        <v>1.8325957145940459</v>
      </c>
      <c r="D24">
        <f t="shared" si="1"/>
        <v>0.93301270189221941</v>
      </c>
      <c r="E24">
        <f t="shared" si="2"/>
        <v>0.37500000000000006</v>
      </c>
      <c r="F24">
        <f t="shared" si="3"/>
        <v>0.93050762191231429</v>
      </c>
      <c r="G24">
        <f t="shared" si="4"/>
        <v>0.36627252908604763</v>
      </c>
      <c r="H24">
        <f t="shared" si="5"/>
        <v>0.49999999999999972</v>
      </c>
      <c r="I24">
        <f t="shared" si="6"/>
        <v>6.666666666666667</v>
      </c>
      <c r="J24">
        <f t="shared" si="7"/>
        <v>66.666666666666629</v>
      </c>
      <c r="K24">
        <f t="shared" si="8"/>
        <v>97.979589711327122</v>
      </c>
      <c r="L24">
        <f t="shared" si="9"/>
        <v>35.887232122381079</v>
      </c>
      <c r="M24">
        <v>256</v>
      </c>
      <c r="N24">
        <v>80</v>
      </c>
      <c r="O24">
        <f t="shared" si="10"/>
        <v>0.53333333333333333</v>
      </c>
      <c r="P24">
        <v>192</v>
      </c>
      <c r="Q24">
        <f t="shared" si="11"/>
        <v>-157.25031549869882</v>
      </c>
      <c r="R24">
        <f t="shared" si="12"/>
        <v>-108.95532123266544</v>
      </c>
      <c r="S24">
        <f t="shared" si="13"/>
        <v>-82.774901251202451</v>
      </c>
      <c r="T24">
        <f t="shared" si="14"/>
        <v>-298.15853768816942</v>
      </c>
      <c r="U24">
        <f t="shared" si="15"/>
        <v>446</v>
      </c>
      <c r="V24">
        <f t="shared" si="16"/>
        <v>175</v>
      </c>
      <c r="W24">
        <f t="shared" si="17"/>
        <v>-83</v>
      </c>
      <c r="X24">
        <f t="shared" si="18"/>
        <v>42</v>
      </c>
    </row>
    <row r="25" spans="2:24" x14ac:dyDescent="0.15">
      <c r="B25">
        <v>21</v>
      </c>
      <c r="C25">
        <f t="shared" si="0"/>
        <v>1.8849555921538759</v>
      </c>
      <c r="D25">
        <f t="shared" si="1"/>
        <v>0.90450849718747384</v>
      </c>
      <c r="E25">
        <f t="shared" si="2"/>
        <v>0.35031463461101847</v>
      </c>
      <c r="F25">
        <f t="shared" si="3"/>
        <v>0.93926477883431958</v>
      </c>
      <c r="G25">
        <f t="shared" si="4"/>
        <v>0.34319334964610942</v>
      </c>
      <c r="H25">
        <f t="shared" si="5"/>
        <v>0.58778525229247303</v>
      </c>
      <c r="I25">
        <f t="shared" si="6"/>
        <v>6.5</v>
      </c>
      <c r="J25">
        <f t="shared" si="7"/>
        <v>80.232686937922566</v>
      </c>
      <c r="K25">
        <f t="shared" si="8"/>
        <v>96.74709297958259</v>
      </c>
      <c r="L25">
        <f t="shared" si="9"/>
        <v>33.202958908186545</v>
      </c>
      <c r="M25">
        <v>256</v>
      </c>
      <c r="N25">
        <v>80</v>
      </c>
      <c r="O25">
        <f t="shared" si="10"/>
        <v>0.54499999999999993</v>
      </c>
      <c r="P25">
        <v>192</v>
      </c>
      <c r="Q25">
        <f t="shared" si="11"/>
        <v>-154.00956295470641</v>
      </c>
      <c r="R25">
        <f t="shared" si="12"/>
        <v>-92.601452134310421</v>
      </c>
      <c r="S25">
        <f t="shared" si="13"/>
        <v>-90.866277721287858</v>
      </c>
      <c r="T25">
        <f t="shared" si="14"/>
        <v>-265.4144273880446</v>
      </c>
      <c r="U25">
        <f t="shared" si="15"/>
        <v>441</v>
      </c>
      <c r="V25">
        <f t="shared" si="16"/>
        <v>161</v>
      </c>
      <c r="W25">
        <f t="shared" si="17"/>
        <v>-91</v>
      </c>
      <c r="X25">
        <f t="shared" si="18"/>
        <v>59</v>
      </c>
    </row>
    <row r="26" spans="2:24" x14ac:dyDescent="0.15">
      <c r="B26">
        <v>22</v>
      </c>
      <c r="C26">
        <f t="shared" si="0"/>
        <v>1.9373154697137056</v>
      </c>
      <c r="D26">
        <f t="shared" si="1"/>
        <v>0.87157241273869734</v>
      </c>
      <c r="E26">
        <f t="shared" si="2"/>
        <v>0.32179114877718845</v>
      </c>
      <c r="F26">
        <f t="shared" si="3"/>
        <v>0.94867046019857493</v>
      </c>
      <c r="G26">
        <f t="shared" si="4"/>
        <v>0.31626627696708987</v>
      </c>
      <c r="H26">
        <f t="shared" si="5"/>
        <v>0.6691306063588579</v>
      </c>
      <c r="I26">
        <f t="shared" si="6"/>
        <v>6.333333333333333</v>
      </c>
      <c r="J26">
        <f t="shared" si="7"/>
        <v>93.232197819334203</v>
      </c>
      <c r="K26">
        <f t="shared" si="8"/>
        <v>95.498691090506554</v>
      </c>
      <c r="L26">
        <f t="shared" si="9"/>
        <v>30.203015486424704</v>
      </c>
      <c r="M26">
        <v>256</v>
      </c>
      <c r="N26">
        <v>80</v>
      </c>
      <c r="O26">
        <f t="shared" si="10"/>
        <v>0.55666666666666664</v>
      </c>
      <c r="P26">
        <v>192</v>
      </c>
      <c r="Q26">
        <f t="shared" si="11"/>
        <v>-151.62208986168699</v>
      </c>
      <c r="R26">
        <f t="shared" si="12"/>
        <v>-74.996806465097848</v>
      </c>
      <c r="S26">
        <f t="shared" si="13"/>
        <v>-99.295696157201888</v>
      </c>
      <c r="T26">
        <f t="shared" si="14"/>
        <v>-231.95474858970573</v>
      </c>
      <c r="U26">
        <f t="shared" si="15"/>
        <v>436</v>
      </c>
      <c r="V26">
        <f t="shared" si="16"/>
        <v>145</v>
      </c>
      <c r="W26">
        <f t="shared" si="17"/>
        <v>-100</v>
      </c>
      <c r="X26">
        <f t="shared" si="18"/>
        <v>76</v>
      </c>
    </row>
    <row r="27" spans="2:24" x14ac:dyDescent="0.15">
      <c r="B27">
        <v>23</v>
      </c>
      <c r="C27">
        <f t="shared" si="0"/>
        <v>1.9896753472735356</v>
      </c>
      <c r="D27">
        <f t="shared" si="1"/>
        <v>0.83456530317942923</v>
      </c>
      <c r="E27">
        <f t="shared" si="2"/>
        <v>0.28974205177822832</v>
      </c>
      <c r="F27">
        <f t="shared" si="3"/>
        <v>0.95831760450038384</v>
      </c>
      <c r="G27">
        <f t="shared" si="4"/>
        <v>0.28570503829062222</v>
      </c>
      <c r="H27">
        <f t="shared" si="5"/>
        <v>0.74314482547739402</v>
      </c>
      <c r="I27">
        <f t="shared" si="6"/>
        <v>6.166666666666667</v>
      </c>
      <c r="J27">
        <f t="shared" si="7"/>
        <v>105.40270774687706</v>
      </c>
      <c r="K27">
        <f t="shared" si="8"/>
        <v>94.233751915117963</v>
      </c>
      <c r="L27">
        <f t="shared" si="9"/>
        <v>26.923057699177772</v>
      </c>
      <c r="M27">
        <v>256</v>
      </c>
      <c r="N27">
        <v>80</v>
      </c>
      <c r="O27">
        <f t="shared" si="10"/>
        <v>0.56833333333333336</v>
      </c>
      <c r="P27">
        <v>192</v>
      </c>
      <c r="Q27">
        <f t="shared" si="11"/>
        <v>-149.86362919842901</v>
      </c>
      <c r="R27">
        <f t="shared" si="12"/>
        <v>-56.384997164684599</v>
      </c>
      <c r="S27">
        <f t="shared" si="13"/>
        <v>-107.58793288840056</v>
      </c>
      <c r="T27">
        <f t="shared" si="14"/>
        <v>-198.18699078301682</v>
      </c>
      <c r="U27">
        <f t="shared" si="15"/>
        <v>431</v>
      </c>
      <c r="V27">
        <f t="shared" si="16"/>
        <v>128</v>
      </c>
      <c r="W27">
        <f t="shared" si="17"/>
        <v>-108</v>
      </c>
      <c r="X27">
        <f t="shared" si="18"/>
        <v>92</v>
      </c>
    </row>
    <row r="28" spans="2:24" x14ac:dyDescent="0.15">
      <c r="B28">
        <v>24</v>
      </c>
      <c r="C28">
        <f t="shared" si="0"/>
        <v>2.0420352248333655</v>
      </c>
      <c r="D28">
        <f t="shared" si="1"/>
        <v>0.79389262614623668</v>
      </c>
      <c r="E28">
        <f t="shared" si="2"/>
        <v>0.25451848022756368</v>
      </c>
      <c r="F28">
        <f t="shared" si="3"/>
        <v>0.96778464465381719</v>
      </c>
      <c r="G28">
        <f t="shared" si="4"/>
        <v>0.25177943039947653</v>
      </c>
      <c r="H28">
        <f t="shared" si="5"/>
        <v>0.80901699437494734</v>
      </c>
      <c r="I28">
        <f t="shared" si="6"/>
        <v>6</v>
      </c>
      <c r="J28">
        <f t="shared" si="7"/>
        <v>116.49844718999242</v>
      </c>
      <c r="K28">
        <f t="shared" si="8"/>
        <v>92.951600308978001</v>
      </c>
      <c r="L28">
        <f t="shared" si="9"/>
        <v>23.403300980514288</v>
      </c>
      <c r="M28">
        <v>256</v>
      </c>
      <c r="N28">
        <v>80</v>
      </c>
      <c r="O28">
        <f t="shared" si="10"/>
        <v>0.57999999999999996</v>
      </c>
      <c r="P28">
        <v>192</v>
      </c>
      <c r="Q28">
        <f t="shared" si="11"/>
        <v>-148.51076369646253</v>
      </c>
      <c r="R28">
        <f t="shared" si="12"/>
        <v>-37.022701139075878</v>
      </c>
      <c r="S28">
        <f t="shared" si="13"/>
        <v>-115.33192123871919</v>
      </c>
      <c r="T28">
        <f t="shared" si="14"/>
        <v>-164.55485977112147</v>
      </c>
      <c r="U28">
        <f t="shared" si="15"/>
        <v>427</v>
      </c>
      <c r="V28">
        <f t="shared" si="16"/>
        <v>111</v>
      </c>
      <c r="W28">
        <f t="shared" si="17"/>
        <v>-116</v>
      </c>
      <c r="X28">
        <f t="shared" si="18"/>
        <v>109</v>
      </c>
    </row>
    <row r="29" spans="2:24" x14ac:dyDescent="0.15">
      <c r="B29">
        <v>25</v>
      </c>
      <c r="C29">
        <f t="shared" si="0"/>
        <v>2.0943951023931957</v>
      </c>
      <c r="D29">
        <f t="shared" si="1"/>
        <v>0.74999999999999967</v>
      </c>
      <c r="E29">
        <f t="shared" si="2"/>
        <v>0.21650635094610937</v>
      </c>
      <c r="F29">
        <f t="shared" si="3"/>
        <v>0.97665390980290678</v>
      </c>
      <c r="G29">
        <f t="shared" si="4"/>
        <v>0.21481885500741252</v>
      </c>
      <c r="H29">
        <f t="shared" si="5"/>
        <v>0.86602540378443882</v>
      </c>
      <c r="I29">
        <f t="shared" si="6"/>
        <v>5.833333333333333</v>
      </c>
      <c r="J29">
        <f t="shared" si="7"/>
        <v>126.29537138523065</v>
      </c>
      <c r="K29">
        <f t="shared" si="8"/>
        <v>91.651513899116793</v>
      </c>
      <c r="L29">
        <f t="shared" si="9"/>
        <v>19.688473275504222</v>
      </c>
      <c r="M29">
        <v>256</v>
      </c>
      <c r="N29">
        <v>80</v>
      </c>
      <c r="O29">
        <f t="shared" si="10"/>
        <v>0.59166666666666667</v>
      </c>
      <c r="P29">
        <v>192</v>
      </c>
      <c r="Q29">
        <f t="shared" si="11"/>
        <v>-147.34593769806676</v>
      </c>
      <c r="R29">
        <f t="shared" si="12"/>
        <v>-17.176430297545785</v>
      </c>
      <c r="S29">
        <f t="shared" si="13"/>
        <v>-122.19389132772035</v>
      </c>
      <c r="T29">
        <f t="shared" si="14"/>
        <v>-131.527865725759</v>
      </c>
      <c r="U29">
        <f t="shared" si="15"/>
        <v>422</v>
      </c>
      <c r="V29">
        <f t="shared" si="16"/>
        <v>92</v>
      </c>
      <c r="W29">
        <f t="shared" si="17"/>
        <v>-123</v>
      </c>
      <c r="X29">
        <f t="shared" si="18"/>
        <v>126</v>
      </c>
    </row>
    <row r="30" spans="2:24" x14ac:dyDescent="0.15">
      <c r="B30">
        <v>26</v>
      </c>
      <c r="C30">
        <f t="shared" si="0"/>
        <v>2.1467549799530254</v>
      </c>
      <c r="D30">
        <f t="shared" si="1"/>
        <v>0.70336832153789997</v>
      </c>
      <c r="E30">
        <f t="shared" si="2"/>
        <v>0.17612213277682337</v>
      </c>
      <c r="F30">
        <f t="shared" si="3"/>
        <v>0.98453054652314365</v>
      </c>
      <c r="G30">
        <f t="shared" si="4"/>
        <v>0.17521302167030872</v>
      </c>
      <c r="H30">
        <f t="shared" si="5"/>
        <v>0.91354545764260098</v>
      </c>
      <c r="I30">
        <f t="shared" si="6"/>
        <v>5.666666666666667</v>
      </c>
      <c r="J30">
        <f t="shared" si="7"/>
        <v>134.59569742600988</v>
      </c>
      <c r="K30">
        <f t="shared" si="8"/>
        <v>90.332718325089729</v>
      </c>
      <c r="L30">
        <f t="shared" si="9"/>
        <v>15.827468533431841</v>
      </c>
      <c r="M30">
        <v>256</v>
      </c>
      <c r="N30">
        <v>80</v>
      </c>
      <c r="O30">
        <f t="shared" si="10"/>
        <v>0.60333333333333328</v>
      </c>
      <c r="P30">
        <v>192</v>
      </c>
      <c r="Q30">
        <f t="shared" si="11"/>
        <v>-146.16293161645629</v>
      </c>
      <c r="R30">
        <f t="shared" si="12"/>
        <v>2.8822906709888252</v>
      </c>
      <c r="S30">
        <f t="shared" si="13"/>
        <v>-127.92705192398435</v>
      </c>
      <c r="T30">
        <f t="shared" si="14"/>
        <v>-99.586010079754516</v>
      </c>
      <c r="U30">
        <f t="shared" si="15"/>
        <v>417</v>
      </c>
      <c r="V30">
        <f t="shared" si="16"/>
        <v>74</v>
      </c>
      <c r="W30">
        <f t="shared" si="17"/>
        <v>-128</v>
      </c>
      <c r="X30">
        <f t="shared" si="18"/>
        <v>142</v>
      </c>
    </row>
    <row r="31" spans="2:24" x14ac:dyDescent="0.15">
      <c r="B31">
        <v>27</v>
      </c>
      <c r="C31">
        <f t="shared" si="0"/>
        <v>2.1991148575128552</v>
      </c>
      <c r="D31">
        <f t="shared" si="1"/>
        <v>0.65450849718747373</v>
      </c>
      <c r="E31">
        <f t="shared" si="2"/>
        <v>0.13380828366490874</v>
      </c>
      <c r="F31">
        <f t="shared" si="3"/>
        <v>0.9910610210058366</v>
      </c>
      <c r="G31">
        <f t="shared" si="4"/>
        <v>0.13340934241224936</v>
      </c>
      <c r="H31">
        <f t="shared" si="5"/>
        <v>0.95105651629515353</v>
      </c>
      <c r="I31">
        <f t="shared" si="6"/>
        <v>5.5</v>
      </c>
      <c r="J31">
        <f t="shared" si="7"/>
        <v>141.2318926698303</v>
      </c>
      <c r="K31">
        <f t="shared" si="8"/>
        <v>88.994381845147956</v>
      </c>
      <c r="L31">
        <f t="shared" si="9"/>
        <v>11.872681960345812</v>
      </c>
      <c r="M31">
        <v>256</v>
      </c>
      <c r="N31">
        <v>80</v>
      </c>
      <c r="O31">
        <f t="shared" si="10"/>
        <v>0.61499999999999999</v>
      </c>
      <c r="P31">
        <v>192</v>
      </c>
      <c r="Q31">
        <f t="shared" si="11"/>
        <v>-144.77266944632512</v>
      </c>
      <c r="R31">
        <f t="shared" si="12"/>
        <v>22.883078741901564</v>
      </c>
      <c r="S31">
        <f t="shared" si="13"/>
        <v>-132.37701393217642</v>
      </c>
      <c r="T31">
        <f t="shared" si="14"/>
        <v>-69.200809745662667</v>
      </c>
      <c r="U31">
        <f t="shared" si="15"/>
        <v>412</v>
      </c>
      <c r="V31">
        <f t="shared" si="16"/>
        <v>55</v>
      </c>
      <c r="W31">
        <f t="shared" si="17"/>
        <v>-133</v>
      </c>
      <c r="X31">
        <f t="shared" si="18"/>
        <v>157</v>
      </c>
    </row>
    <row r="32" spans="2:24" x14ac:dyDescent="0.15">
      <c r="B32">
        <v>28</v>
      </c>
      <c r="C32">
        <f t="shared" si="0"/>
        <v>2.2514747350726854</v>
      </c>
      <c r="D32">
        <f t="shared" si="1"/>
        <v>0.60395584540887948</v>
      </c>
      <c r="E32">
        <f t="shared" si="2"/>
        <v>9.002840299597753E-2</v>
      </c>
      <c r="F32">
        <f t="shared" si="3"/>
        <v>0.99595017979019074</v>
      </c>
      <c r="G32">
        <f t="shared" si="4"/>
        <v>8.9906837203222928E-2</v>
      </c>
      <c r="H32">
        <f t="shared" si="5"/>
        <v>0.97814760073380569</v>
      </c>
      <c r="I32">
        <f t="shared" si="6"/>
        <v>5.333333333333333</v>
      </c>
      <c r="J32">
        <f t="shared" si="7"/>
        <v>146.07004170958163</v>
      </c>
      <c r="K32">
        <f t="shared" si="8"/>
        <v>87.635609200826579</v>
      </c>
      <c r="L32">
        <f t="shared" si="9"/>
        <v>7.8790404496239805</v>
      </c>
      <c r="M32">
        <v>256</v>
      </c>
      <c r="N32">
        <v>80</v>
      </c>
      <c r="O32">
        <f t="shared" si="10"/>
        <v>0.62666666666666671</v>
      </c>
      <c r="P32">
        <v>192</v>
      </c>
      <c r="Q32">
        <f t="shared" si="11"/>
        <v>-143.00911190659431</v>
      </c>
      <c r="R32">
        <f t="shared" si="12"/>
        <v>42.563720939746553</v>
      </c>
      <c r="S32">
        <f t="shared" si="13"/>
        <v>-135.48236392440293</v>
      </c>
      <c r="T32">
        <f t="shared" si="14"/>
        <v>-40.814431815806444</v>
      </c>
      <c r="U32">
        <f t="shared" si="15"/>
        <v>406</v>
      </c>
      <c r="V32">
        <f t="shared" si="16"/>
        <v>36</v>
      </c>
      <c r="W32">
        <f t="shared" si="17"/>
        <v>-136</v>
      </c>
      <c r="X32">
        <f t="shared" si="18"/>
        <v>171</v>
      </c>
    </row>
    <row r="33" spans="2:24" x14ac:dyDescent="0.15">
      <c r="B33">
        <v>29</v>
      </c>
      <c r="C33">
        <f t="shared" si="0"/>
        <v>2.3038346126325151</v>
      </c>
      <c r="D33">
        <f t="shared" si="1"/>
        <v>0.55226423163382676</v>
      </c>
      <c r="E33">
        <f t="shared" si="2"/>
        <v>4.5262152304168253E-2</v>
      </c>
      <c r="F33">
        <f t="shared" si="3"/>
        <v>0.99897584364819536</v>
      </c>
      <c r="G33">
        <f t="shared" si="4"/>
        <v>4.5246699408644668E-2</v>
      </c>
      <c r="H33">
        <f t="shared" si="5"/>
        <v>0.9945218953682734</v>
      </c>
      <c r="I33">
        <f t="shared" si="6"/>
        <v>5.166666666666667</v>
      </c>
      <c r="J33">
        <f t="shared" si="7"/>
        <v>149.01253065601296</v>
      </c>
      <c r="K33">
        <f t="shared" si="8"/>
        <v>86.255434611391294</v>
      </c>
      <c r="L33">
        <f t="shared" si="9"/>
        <v>3.9027737222236274</v>
      </c>
      <c r="M33">
        <v>256</v>
      </c>
      <c r="N33">
        <v>80</v>
      </c>
      <c r="O33">
        <f t="shared" si="10"/>
        <v>0.63833333333333331</v>
      </c>
      <c r="P33">
        <v>192</v>
      </c>
      <c r="Q33">
        <f t="shared" si="11"/>
        <v>-140.7348775955395</v>
      </c>
      <c r="R33">
        <f t="shared" si="12"/>
        <v>61.677477568525831</v>
      </c>
      <c r="S33">
        <f t="shared" si="13"/>
        <v>-137.27011445212588</v>
      </c>
      <c r="T33">
        <f t="shared" si="14"/>
        <v>-14.819034430568081</v>
      </c>
      <c r="U33">
        <f t="shared" si="15"/>
        <v>400</v>
      </c>
      <c r="V33">
        <f t="shared" si="16"/>
        <v>18</v>
      </c>
      <c r="W33">
        <f t="shared" si="17"/>
        <v>-138</v>
      </c>
      <c r="X33">
        <f t="shared" si="18"/>
        <v>184</v>
      </c>
    </row>
    <row r="34" spans="2:24" x14ac:dyDescent="0.15">
      <c r="B34">
        <v>30</v>
      </c>
      <c r="C34">
        <f t="shared" si="0"/>
        <v>2.3561944901923448</v>
      </c>
      <c r="D34">
        <f t="shared" si="1"/>
        <v>0.50000000000000011</v>
      </c>
      <c r="E34">
        <f t="shared" si="2"/>
        <v>9.6148134319178191E-17</v>
      </c>
      <c r="F34">
        <f t="shared" si="3"/>
        <v>1</v>
      </c>
      <c r="G34">
        <f t="shared" si="4"/>
        <v>9.6148134319178191E-17</v>
      </c>
      <c r="H34">
        <f t="shared" si="5"/>
        <v>1</v>
      </c>
      <c r="I34">
        <f t="shared" si="6"/>
        <v>5</v>
      </c>
      <c r="J34">
        <f t="shared" si="7"/>
        <v>150</v>
      </c>
      <c r="K34">
        <f t="shared" si="8"/>
        <v>84.852813742385706</v>
      </c>
      <c r="L34">
        <f t="shared" si="9"/>
        <v>8.1584397330631092E-15</v>
      </c>
      <c r="M34">
        <v>256</v>
      </c>
      <c r="N34">
        <v>80</v>
      </c>
      <c r="O34">
        <f t="shared" si="10"/>
        <v>0.64999999999999991</v>
      </c>
      <c r="P34">
        <v>192</v>
      </c>
      <c r="Q34">
        <f t="shared" si="11"/>
        <v>-137.84615384615392</v>
      </c>
      <c r="R34">
        <f t="shared" si="12"/>
        <v>79.999999999999957</v>
      </c>
      <c r="S34">
        <f t="shared" si="13"/>
        <v>-137.84615384615392</v>
      </c>
      <c r="T34">
        <f t="shared" si="14"/>
        <v>8.4615384615383959</v>
      </c>
      <c r="U34">
        <f t="shared" si="15"/>
        <v>393</v>
      </c>
      <c r="V34">
        <f t="shared" si="16"/>
        <v>0</v>
      </c>
      <c r="W34">
        <f t="shared" si="17"/>
        <v>-138</v>
      </c>
      <c r="X34">
        <f t="shared" si="18"/>
        <v>196</v>
      </c>
    </row>
    <row r="35" spans="2:24" x14ac:dyDescent="0.15">
      <c r="B35">
        <v>31</v>
      </c>
      <c r="C35">
        <f t="shared" si="0"/>
        <v>2.4085543677521746</v>
      </c>
      <c r="D35">
        <f t="shared" si="1"/>
        <v>0.44773576836617346</v>
      </c>
      <c r="E35">
        <f t="shared" si="2"/>
        <v>-4.5262152304168059E-2</v>
      </c>
      <c r="F35">
        <f t="shared" si="3"/>
        <v>0.99897584364819536</v>
      </c>
      <c r="G35">
        <f t="shared" si="4"/>
        <v>-4.5246699408644474E-2</v>
      </c>
      <c r="H35">
        <f t="shared" si="5"/>
        <v>0.9945218953682734</v>
      </c>
      <c r="I35">
        <f t="shared" si="6"/>
        <v>4.833333333333333</v>
      </c>
      <c r="J35">
        <f t="shared" si="7"/>
        <v>149.01253065601296</v>
      </c>
      <c r="K35">
        <f t="shared" si="8"/>
        <v>83.426614458456839</v>
      </c>
      <c r="L35">
        <f t="shared" si="9"/>
        <v>-3.7747789470826696</v>
      </c>
      <c r="M35">
        <v>256</v>
      </c>
      <c r="N35">
        <v>80</v>
      </c>
      <c r="O35">
        <f t="shared" si="10"/>
        <v>0.66166666666666663</v>
      </c>
      <c r="P35">
        <v>192</v>
      </c>
      <c r="Q35">
        <f t="shared" si="11"/>
        <v>-134.27642830909826</v>
      </c>
      <c r="R35">
        <f t="shared" si="12"/>
        <v>97.33523149292634</v>
      </c>
      <c r="S35">
        <f t="shared" si="13"/>
        <v>-137.38124375335369</v>
      </c>
      <c r="T35">
        <f t="shared" si="14"/>
        <v>28.78579764837832</v>
      </c>
      <c r="U35">
        <f t="shared" si="15"/>
        <v>386</v>
      </c>
      <c r="V35">
        <f t="shared" si="16"/>
        <v>-18</v>
      </c>
      <c r="W35">
        <f t="shared" si="17"/>
        <v>-138</v>
      </c>
      <c r="X35">
        <f t="shared" si="18"/>
        <v>206</v>
      </c>
    </row>
    <row r="36" spans="2:24" x14ac:dyDescent="0.15">
      <c r="B36">
        <v>32</v>
      </c>
      <c r="C36">
        <f t="shared" si="0"/>
        <v>2.4609142453120043</v>
      </c>
      <c r="D36">
        <f t="shared" si="1"/>
        <v>0.39604415459112069</v>
      </c>
      <c r="E36">
        <f t="shared" si="2"/>
        <v>-9.0028402995977377E-2</v>
      </c>
      <c r="F36">
        <f t="shared" si="3"/>
        <v>0.99595017979019074</v>
      </c>
      <c r="G36">
        <f t="shared" si="4"/>
        <v>-8.9906837203222775E-2</v>
      </c>
      <c r="H36">
        <f t="shared" si="5"/>
        <v>0.9781476007338058</v>
      </c>
      <c r="I36">
        <f t="shared" si="6"/>
        <v>4.666666666666667</v>
      </c>
      <c r="J36">
        <f t="shared" si="7"/>
        <v>146.07004170958169</v>
      </c>
      <c r="K36">
        <f t="shared" si="8"/>
        <v>81.975606127676784</v>
      </c>
      <c r="L36">
        <f t="shared" si="9"/>
        <v>-7.3701674747565482</v>
      </c>
      <c r="M36">
        <v>256</v>
      </c>
      <c r="N36">
        <v>80</v>
      </c>
      <c r="O36">
        <f t="shared" si="10"/>
        <v>0.67333333333333334</v>
      </c>
      <c r="P36">
        <v>192</v>
      </c>
      <c r="Q36">
        <f t="shared" si="11"/>
        <v>-129.99860579922429</v>
      </c>
      <c r="R36">
        <f t="shared" si="12"/>
        <v>113.51977302401089</v>
      </c>
      <c r="S36">
        <f t="shared" si="13"/>
        <v>-136.09351116659289</v>
      </c>
      <c r="T36">
        <f t="shared" si="14"/>
        <v>46.002971351697525</v>
      </c>
      <c r="U36">
        <f t="shared" si="15"/>
        <v>378</v>
      </c>
      <c r="V36">
        <f t="shared" si="16"/>
        <v>-35</v>
      </c>
      <c r="W36">
        <f t="shared" si="17"/>
        <v>-137</v>
      </c>
      <c r="X36">
        <f t="shared" si="18"/>
        <v>215</v>
      </c>
    </row>
    <row r="37" spans="2:24" x14ac:dyDescent="0.15">
      <c r="B37">
        <v>33</v>
      </c>
      <c r="C37">
        <f t="shared" si="0"/>
        <v>2.5132741228718345</v>
      </c>
      <c r="D37">
        <f t="shared" si="1"/>
        <v>0.34549150281252644</v>
      </c>
      <c r="E37">
        <f t="shared" si="2"/>
        <v>-0.13380828366490857</v>
      </c>
      <c r="F37">
        <f t="shared" si="3"/>
        <v>0.9910610210058366</v>
      </c>
      <c r="G37">
        <f t="shared" si="4"/>
        <v>-0.13340934241224919</v>
      </c>
      <c r="H37">
        <f t="shared" si="5"/>
        <v>0.95105651629515364</v>
      </c>
      <c r="I37">
        <f t="shared" si="6"/>
        <v>4.5</v>
      </c>
      <c r="J37">
        <f t="shared" si="7"/>
        <v>141.2318926698303</v>
      </c>
      <c r="K37">
        <f t="shared" si="8"/>
        <v>80.498447189992433</v>
      </c>
      <c r="L37">
        <f t="shared" si="9"/>
        <v>-10.739244904824059</v>
      </c>
      <c r="M37">
        <v>256</v>
      </c>
      <c r="N37">
        <v>80</v>
      </c>
      <c r="O37">
        <f t="shared" si="10"/>
        <v>0.68500000000000005</v>
      </c>
      <c r="P37">
        <v>192</v>
      </c>
      <c r="Q37">
        <f t="shared" si="11"/>
        <v>-125.0251760384463</v>
      </c>
      <c r="R37">
        <f t="shared" si="12"/>
        <v>128.42537441024447</v>
      </c>
      <c r="S37">
        <f t="shared" si="13"/>
        <v>-134.22869774091504</v>
      </c>
      <c r="T37">
        <f t="shared" si="14"/>
        <v>60.054963085433428</v>
      </c>
      <c r="U37">
        <f t="shared" si="15"/>
        <v>370</v>
      </c>
      <c r="V37">
        <f t="shared" si="16"/>
        <v>-50</v>
      </c>
      <c r="W37">
        <f t="shared" si="17"/>
        <v>-135</v>
      </c>
      <c r="X37">
        <f t="shared" si="18"/>
        <v>222</v>
      </c>
    </row>
    <row r="38" spans="2:24" x14ac:dyDescent="0.15">
      <c r="B38">
        <v>34</v>
      </c>
      <c r="C38">
        <f t="shared" si="0"/>
        <v>2.5656340004316647</v>
      </c>
      <c r="D38">
        <f t="shared" si="1"/>
        <v>0.29663167846209976</v>
      </c>
      <c r="E38">
        <f t="shared" si="2"/>
        <v>-0.17612213277682359</v>
      </c>
      <c r="F38">
        <f t="shared" si="3"/>
        <v>0.98453054652314365</v>
      </c>
      <c r="G38">
        <f t="shared" si="4"/>
        <v>-0.17521302167030894</v>
      </c>
      <c r="H38">
        <f t="shared" si="5"/>
        <v>0.91354545764260076</v>
      </c>
      <c r="I38">
        <f t="shared" si="6"/>
        <v>4.333333333333333</v>
      </c>
      <c r="J38">
        <f t="shared" si="7"/>
        <v>134.59569742600982</v>
      </c>
      <c r="K38">
        <f t="shared" si="8"/>
        <v>78.993670632525991</v>
      </c>
      <c r="L38">
        <f t="shared" si="9"/>
        <v>-13.840719724354024</v>
      </c>
      <c r="M38">
        <v>256</v>
      </c>
      <c r="N38">
        <v>80</v>
      </c>
      <c r="O38">
        <f t="shared" si="10"/>
        <v>0.69666666666666655</v>
      </c>
      <c r="P38">
        <v>192</v>
      </c>
      <c r="Q38">
        <f t="shared" si="11"/>
        <v>-119.40625715821179</v>
      </c>
      <c r="R38">
        <f t="shared" si="12"/>
        <v>141.95942359021811</v>
      </c>
      <c r="S38">
        <f t="shared" si="13"/>
        <v>-132.03961838568586</v>
      </c>
      <c r="T38">
        <f t="shared" si="14"/>
        <v>70.971948372118817</v>
      </c>
      <c r="U38">
        <f t="shared" si="15"/>
        <v>361</v>
      </c>
      <c r="V38">
        <f t="shared" si="16"/>
        <v>-65</v>
      </c>
      <c r="W38">
        <f t="shared" si="17"/>
        <v>-133</v>
      </c>
      <c r="X38">
        <f t="shared" si="18"/>
        <v>227</v>
      </c>
    </row>
    <row r="39" spans="2:24" x14ac:dyDescent="0.15">
      <c r="B39">
        <v>35</v>
      </c>
      <c r="C39">
        <f t="shared" si="0"/>
        <v>2.617993877991494</v>
      </c>
      <c r="D39">
        <f t="shared" si="1"/>
        <v>0.25000000000000033</v>
      </c>
      <c r="E39">
        <f t="shared" si="2"/>
        <v>-0.21650635094610937</v>
      </c>
      <c r="F39">
        <f t="shared" si="3"/>
        <v>0.97665390980290678</v>
      </c>
      <c r="G39">
        <f t="shared" si="4"/>
        <v>-0.21481885500741252</v>
      </c>
      <c r="H39">
        <f t="shared" si="5"/>
        <v>0.86602540378443904</v>
      </c>
      <c r="I39">
        <f t="shared" si="6"/>
        <v>4.166666666666667</v>
      </c>
      <c r="J39">
        <f t="shared" si="7"/>
        <v>126.29537138523069</v>
      </c>
      <c r="K39">
        <f t="shared" si="8"/>
        <v>77.459666924148337</v>
      </c>
      <c r="L39">
        <f t="shared" si="9"/>
        <v>-16.63979695790109</v>
      </c>
      <c r="M39">
        <v>256</v>
      </c>
      <c r="N39">
        <v>80</v>
      </c>
      <c r="O39">
        <f t="shared" si="10"/>
        <v>0.70833333333333326</v>
      </c>
      <c r="P39">
        <v>192</v>
      </c>
      <c r="Q39">
        <f t="shared" si="11"/>
        <v>-113.22553580602882</v>
      </c>
      <c r="R39">
        <f t="shared" si="12"/>
        <v>154.06351935027388</v>
      </c>
      <c r="S39">
        <f t="shared" si="13"/>
        <v>-129.766318315001</v>
      </c>
      <c r="T39">
        <f t="shared" si="14"/>
        <v>78.862392763737461</v>
      </c>
      <c r="U39">
        <f t="shared" si="15"/>
        <v>352</v>
      </c>
      <c r="V39">
        <f t="shared" si="16"/>
        <v>-78</v>
      </c>
      <c r="W39">
        <f t="shared" si="17"/>
        <v>-130</v>
      </c>
      <c r="X39">
        <f t="shared" si="18"/>
        <v>231</v>
      </c>
    </row>
    <row r="40" spans="2:24" x14ac:dyDescent="0.15">
      <c r="B40">
        <v>36</v>
      </c>
      <c r="C40">
        <f t="shared" si="0"/>
        <v>2.6703537555513241</v>
      </c>
      <c r="D40">
        <f t="shared" si="1"/>
        <v>0.20610737385376349</v>
      </c>
      <c r="E40">
        <f t="shared" si="2"/>
        <v>-0.25451848022756351</v>
      </c>
      <c r="F40">
        <f t="shared" si="3"/>
        <v>0.96778464465381719</v>
      </c>
      <c r="G40">
        <f t="shared" si="4"/>
        <v>-0.25177943039947637</v>
      </c>
      <c r="H40">
        <f t="shared" si="5"/>
        <v>0.80901699437494756</v>
      </c>
      <c r="I40">
        <f t="shared" si="6"/>
        <v>4</v>
      </c>
      <c r="J40">
        <f t="shared" si="7"/>
        <v>116.49844718999245</v>
      </c>
      <c r="K40">
        <f t="shared" si="8"/>
        <v>75.894663844041091</v>
      </c>
      <c r="L40">
        <f t="shared" si="9"/>
        <v>-19.108715233012401</v>
      </c>
      <c r="M40">
        <v>256</v>
      </c>
      <c r="N40">
        <v>80</v>
      </c>
      <c r="O40">
        <f t="shared" si="10"/>
        <v>0.72</v>
      </c>
      <c r="P40">
        <v>192</v>
      </c>
      <c r="Q40">
        <f t="shared" si="11"/>
        <v>-106.59432816959583</v>
      </c>
      <c r="R40">
        <f t="shared" si="12"/>
        <v>164.71039381611348</v>
      </c>
      <c r="S40">
        <f t="shared" si="13"/>
        <v>-127.61830157357132</v>
      </c>
      <c r="T40">
        <f t="shared" si="14"/>
        <v>83.89887320183837</v>
      </c>
      <c r="U40">
        <f t="shared" si="15"/>
        <v>344</v>
      </c>
      <c r="V40">
        <f t="shared" si="16"/>
        <v>-90</v>
      </c>
      <c r="W40">
        <f t="shared" si="17"/>
        <v>-128</v>
      </c>
      <c r="X40">
        <f t="shared" si="18"/>
        <v>233</v>
      </c>
    </row>
    <row r="41" spans="2:24" x14ac:dyDescent="0.15">
      <c r="B41">
        <v>37</v>
      </c>
      <c r="C41">
        <f t="shared" si="0"/>
        <v>2.7227136331111543</v>
      </c>
      <c r="D41">
        <f t="shared" si="1"/>
        <v>0.16543469682057077</v>
      </c>
      <c r="E41">
        <f t="shared" si="2"/>
        <v>-0.28974205177822832</v>
      </c>
      <c r="F41">
        <f t="shared" si="3"/>
        <v>0.95831760450038384</v>
      </c>
      <c r="G41">
        <f t="shared" si="4"/>
        <v>-0.28570503829062222</v>
      </c>
      <c r="H41">
        <f t="shared" si="5"/>
        <v>0.74314482547739402</v>
      </c>
      <c r="I41">
        <f t="shared" si="6"/>
        <v>3.8333333333333335</v>
      </c>
      <c r="J41">
        <f t="shared" si="7"/>
        <v>105.40270774687706</v>
      </c>
      <c r="K41">
        <f t="shared" si="8"/>
        <v>74.296702484026838</v>
      </c>
      <c r="L41">
        <f t="shared" si="9"/>
        <v>-21.226942228065855</v>
      </c>
      <c r="M41">
        <v>256</v>
      </c>
      <c r="N41">
        <v>80</v>
      </c>
      <c r="O41">
        <f t="shared" si="10"/>
        <v>0.73166666666666669</v>
      </c>
      <c r="P41">
        <v>192</v>
      </c>
      <c r="Q41">
        <f t="shared" si="11"/>
        <v>-99.644166211057055</v>
      </c>
      <c r="R41">
        <f t="shared" si="12"/>
        <v>173.89957862249244</v>
      </c>
      <c r="S41">
        <f t="shared" si="13"/>
        <v>-125.75995697586238</v>
      </c>
      <c r="T41">
        <f t="shared" si="14"/>
        <v>86.301466264727424</v>
      </c>
      <c r="U41">
        <f t="shared" si="15"/>
        <v>335</v>
      </c>
      <c r="V41">
        <f t="shared" si="16"/>
        <v>-100</v>
      </c>
      <c r="W41">
        <f t="shared" si="17"/>
        <v>-126</v>
      </c>
      <c r="X41">
        <f t="shared" si="18"/>
        <v>235</v>
      </c>
    </row>
    <row r="42" spans="2:24" x14ac:dyDescent="0.15">
      <c r="B42">
        <v>38</v>
      </c>
      <c r="C42">
        <f t="shared" si="0"/>
        <v>2.7750735106709836</v>
      </c>
      <c r="D42">
        <f t="shared" si="1"/>
        <v>0.12842758726130316</v>
      </c>
      <c r="E42">
        <f t="shared" si="2"/>
        <v>-0.32179114877718801</v>
      </c>
      <c r="F42">
        <f t="shared" si="3"/>
        <v>0.94867046019857515</v>
      </c>
      <c r="G42">
        <f t="shared" si="4"/>
        <v>-0.31626627696708942</v>
      </c>
      <c r="H42">
        <f t="shared" si="5"/>
        <v>0.66913060635885879</v>
      </c>
      <c r="I42">
        <f t="shared" si="6"/>
        <v>3.6666666666666665</v>
      </c>
      <c r="J42">
        <f t="shared" si="7"/>
        <v>93.232197819334317</v>
      </c>
      <c r="K42">
        <f t="shared" si="8"/>
        <v>72.663608498339812</v>
      </c>
      <c r="L42">
        <f t="shared" si="9"/>
        <v>-22.981048930764093</v>
      </c>
      <c r="M42">
        <v>256</v>
      </c>
      <c r="N42">
        <v>80</v>
      </c>
      <c r="O42">
        <f t="shared" si="10"/>
        <v>0.74333333333333329</v>
      </c>
      <c r="P42">
        <v>192</v>
      </c>
      <c r="Q42">
        <f t="shared" si="11"/>
        <v>-92.518443804234181</v>
      </c>
      <c r="R42">
        <f t="shared" si="12"/>
        <v>181.6522731200233</v>
      </c>
      <c r="S42">
        <f t="shared" si="13"/>
        <v>-124.29997090366606</v>
      </c>
      <c r="T42">
        <f t="shared" si="14"/>
        <v>86.320591764793164</v>
      </c>
      <c r="U42">
        <f t="shared" si="15"/>
        <v>326</v>
      </c>
      <c r="V42">
        <f t="shared" si="16"/>
        <v>-109</v>
      </c>
      <c r="W42">
        <f t="shared" si="17"/>
        <v>-125</v>
      </c>
      <c r="X42">
        <f t="shared" si="18"/>
        <v>235</v>
      </c>
    </row>
    <row r="43" spans="2:24" x14ac:dyDescent="0.15">
      <c r="B43">
        <v>39</v>
      </c>
      <c r="C43">
        <f t="shared" si="0"/>
        <v>2.8274333882308138</v>
      </c>
      <c r="D43">
        <f t="shared" si="1"/>
        <v>9.5491502812526344E-2</v>
      </c>
      <c r="E43">
        <f t="shared" si="2"/>
        <v>-0.35031463461101831</v>
      </c>
      <c r="F43">
        <f t="shared" si="3"/>
        <v>0.93926477883431958</v>
      </c>
      <c r="G43">
        <f t="shared" si="4"/>
        <v>-0.34319334964610926</v>
      </c>
      <c r="H43">
        <f t="shared" si="5"/>
        <v>0.58778525229247336</v>
      </c>
      <c r="I43">
        <f t="shared" si="6"/>
        <v>3.5</v>
      </c>
      <c r="J43">
        <f t="shared" si="7"/>
        <v>80.232686937922608</v>
      </c>
      <c r="K43">
        <f t="shared" si="8"/>
        <v>70.992957397195397</v>
      </c>
      <c r="L43">
        <f t="shared" si="9"/>
        <v>-24.364310850427017</v>
      </c>
      <c r="M43">
        <v>256</v>
      </c>
      <c r="N43">
        <v>80</v>
      </c>
      <c r="O43">
        <f t="shared" si="10"/>
        <v>0.75499999999999989</v>
      </c>
      <c r="P43">
        <v>192</v>
      </c>
      <c r="Q43">
        <f t="shared" si="11"/>
        <v>-85.36372232924559</v>
      </c>
      <c r="R43">
        <f t="shared" si="12"/>
        <v>188.00587691749439</v>
      </c>
      <c r="S43">
        <f t="shared" si="13"/>
        <v>-123.28514258107751</v>
      </c>
      <c r="T43">
        <f t="shared" si="14"/>
        <v>84.221073270661861</v>
      </c>
      <c r="U43">
        <f t="shared" si="15"/>
        <v>318</v>
      </c>
      <c r="V43">
        <f t="shared" si="16"/>
        <v>-117</v>
      </c>
      <c r="W43">
        <f t="shared" si="17"/>
        <v>-124</v>
      </c>
      <c r="X43">
        <f t="shared" si="18"/>
        <v>234</v>
      </c>
    </row>
    <row r="44" spans="2:24" x14ac:dyDescent="0.15">
      <c r="B44">
        <v>40</v>
      </c>
      <c r="C44">
        <f t="shared" si="0"/>
        <v>2.8797932657906435</v>
      </c>
      <c r="D44">
        <f t="shared" si="1"/>
        <v>6.6987298107780813E-2</v>
      </c>
      <c r="E44">
        <f t="shared" si="2"/>
        <v>-0.37499999999999983</v>
      </c>
      <c r="F44">
        <f t="shared" si="3"/>
        <v>0.9305076219123144</v>
      </c>
      <c r="G44">
        <f t="shared" si="4"/>
        <v>-0.3662725290860474</v>
      </c>
      <c r="H44">
        <f t="shared" si="5"/>
        <v>0.50000000000000044</v>
      </c>
      <c r="I44">
        <f t="shared" si="6"/>
        <v>3.3333333333333335</v>
      </c>
      <c r="J44">
        <f t="shared" si="7"/>
        <v>66.666666666666728</v>
      </c>
      <c r="K44">
        <f t="shared" si="8"/>
        <v>69.282032302755098</v>
      </c>
      <c r="L44">
        <f t="shared" si="9"/>
        <v>-25.376105191751343</v>
      </c>
      <c r="M44">
        <v>256</v>
      </c>
      <c r="N44">
        <v>80</v>
      </c>
      <c r="O44">
        <f t="shared" si="10"/>
        <v>0.76666666666666661</v>
      </c>
      <c r="P44">
        <v>192</v>
      </c>
      <c r="Q44">
        <f t="shared" si="11"/>
        <v>-78.321291307833093</v>
      </c>
      <c r="R44">
        <f t="shared" si="12"/>
        <v>193.00860470266559</v>
      </c>
      <c r="S44">
        <f t="shared" si="13"/>
        <v>-122.69865859999767</v>
      </c>
      <c r="T44">
        <f t="shared" si="14"/>
        <v>80.268840656477948</v>
      </c>
      <c r="U44">
        <f t="shared" si="15"/>
        <v>310</v>
      </c>
      <c r="V44">
        <f t="shared" si="16"/>
        <v>-123</v>
      </c>
      <c r="W44">
        <f t="shared" si="17"/>
        <v>-123</v>
      </c>
      <c r="X44">
        <f t="shared" si="18"/>
        <v>232</v>
      </c>
    </row>
    <row r="45" spans="2:24" x14ac:dyDescent="0.15">
      <c r="B45">
        <v>41</v>
      </c>
      <c r="C45">
        <f t="shared" si="0"/>
        <v>2.9321531433504733</v>
      </c>
      <c r="D45">
        <f t="shared" si="1"/>
        <v>4.3227271178699719E-2</v>
      </c>
      <c r="E45">
        <f t="shared" si="2"/>
        <v>-0.39557678691518644</v>
      </c>
      <c r="F45">
        <f t="shared" si="3"/>
        <v>0.92277445851456674</v>
      </c>
      <c r="G45">
        <f t="shared" si="4"/>
        <v>-0.38534049711021562</v>
      </c>
      <c r="H45">
        <f t="shared" si="5"/>
        <v>0.40673664307580093</v>
      </c>
      <c r="I45">
        <f t="shared" si="6"/>
        <v>3.1666666666666665</v>
      </c>
      <c r="J45">
        <f t="shared" si="7"/>
        <v>52.807974159341484</v>
      </c>
      <c r="K45">
        <f t="shared" si="8"/>
        <v>67.527772064536521</v>
      </c>
      <c r="L45">
        <f t="shared" si="9"/>
        <v>-26.021185256093833</v>
      </c>
      <c r="M45">
        <v>256</v>
      </c>
      <c r="N45">
        <v>80</v>
      </c>
      <c r="O45">
        <f t="shared" si="10"/>
        <v>0.77833333333333332</v>
      </c>
      <c r="P45">
        <v>192</v>
      </c>
      <c r="Q45">
        <f t="shared" si="11"/>
        <v>-71.51951560106059</v>
      </c>
      <c r="R45">
        <f t="shared" si="12"/>
        <v>196.71452605649756</v>
      </c>
      <c r="S45">
        <f t="shared" si="13"/>
        <v>-122.46258225376027</v>
      </c>
      <c r="T45">
        <f t="shared" si="14"/>
        <v>74.72122117925062</v>
      </c>
      <c r="U45">
        <f t="shared" si="15"/>
        <v>303</v>
      </c>
      <c r="V45">
        <f t="shared" si="16"/>
        <v>-127</v>
      </c>
      <c r="W45">
        <f t="shared" si="17"/>
        <v>-123</v>
      </c>
      <c r="X45">
        <f t="shared" si="18"/>
        <v>229</v>
      </c>
    </row>
    <row r="46" spans="2:24" x14ac:dyDescent="0.15">
      <c r="B46">
        <v>42</v>
      </c>
      <c r="C46">
        <f t="shared" si="0"/>
        <v>2.9845130209103035</v>
      </c>
      <c r="D46">
        <f t="shared" si="1"/>
        <v>2.4471741852423248E-2</v>
      </c>
      <c r="E46">
        <f t="shared" si="2"/>
        <v>-0.41181955177316593</v>
      </c>
      <c r="F46">
        <f t="shared" si="3"/>
        <v>0.91639401472026416</v>
      </c>
      <c r="G46">
        <f t="shared" si="4"/>
        <v>-0.40027741603152717</v>
      </c>
      <c r="H46">
        <f t="shared" si="5"/>
        <v>0.30901699437494762</v>
      </c>
      <c r="I46">
        <f t="shared" si="6"/>
        <v>3</v>
      </c>
      <c r="J46">
        <f t="shared" si="7"/>
        <v>38.936141291243402</v>
      </c>
      <c r="K46">
        <f t="shared" si="8"/>
        <v>65.726706900619931</v>
      </c>
      <c r="L46">
        <f t="shared" si="9"/>
        <v>-26.308916402441692</v>
      </c>
      <c r="M46">
        <v>256</v>
      </c>
      <c r="N46">
        <v>80</v>
      </c>
      <c r="O46">
        <f t="shared" si="10"/>
        <v>0.78999999999999992</v>
      </c>
      <c r="P46">
        <v>192</v>
      </c>
      <c r="Q46">
        <f t="shared" si="11"/>
        <v>-65.067393991286849</v>
      </c>
      <c r="R46">
        <f t="shared" si="12"/>
        <v>199.17928492899429</v>
      </c>
      <c r="S46">
        <f t="shared" si="13"/>
        <v>-122.4440953428881</v>
      </c>
      <c r="T46">
        <f t="shared" si="14"/>
        <v>67.82122275229095</v>
      </c>
      <c r="U46">
        <f t="shared" si="15"/>
        <v>296</v>
      </c>
      <c r="V46">
        <f t="shared" si="16"/>
        <v>-130</v>
      </c>
      <c r="W46">
        <f t="shared" si="17"/>
        <v>-123</v>
      </c>
      <c r="X46">
        <f t="shared" si="18"/>
        <v>225</v>
      </c>
    </row>
    <row r="47" spans="2:24" x14ac:dyDescent="0.15">
      <c r="B47">
        <v>43</v>
      </c>
      <c r="C47">
        <f t="shared" si="0"/>
        <v>3.0368728984701332</v>
      </c>
      <c r="D47">
        <f t="shared" si="1"/>
        <v>1.0926199633097235E-2</v>
      </c>
      <c r="E47">
        <f t="shared" si="2"/>
        <v>-0.42355033544313692</v>
      </c>
      <c r="F47">
        <f t="shared" si="3"/>
        <v>0.91163550228179946</v>
      </c>
      <c r="G47">
        <f t="shared" si="4"/>
        <v>-0.41099964839329378</v>
      </c>
      <c r="H47">
        <f t="shared" si="5"/>
        <v>0.20791169081775987</v>
      </c>
      <c r="I47">
        <f t="shared" si="6"/>
        <v>2.8333333333333335</v>
      </c>
      <c r="J47">
        <f t="shared" si="7"/>
        <v>25.330574331297079</v>
      </c>
      <c r="K47">
        <f t="shared" si="8"/>
        <v>63.874877690685246</v>
      </c>
      <c r="L47">
        <f t="shared" si="9"/>
        <v>-26.252552272036279</v>
      </c>
      <c r="M47">
        <v>256</v>
      </c>
      <c r="N47">
        <v>80</v>
      </c>
      <c r="O47">
        <f t="shared" si="10"/>
        <v>0.80166666666666653</v>
      </c>
      <c r="P47">
        <v>192</v>
      </c>
      <c r="Q47">
        <f t="shared" si="11"/>
        <v>-59.049625933421382</v>
      </c>
      <c r="R47">
        <f t="shared" si="12"/>
        <v>200.45666761310736</v>
      </c>
      <c r="S47">
        <f t="shared" si="13"/>
        <v>-122.46490105822481</v>
      </c>
      <c r="T47">
        <f t="shared" si="14"/>
        <v>59.795680634798373</v>
      </c>
      <c r="U47">
        <f t="shared" si="15"/>
        <v>291</v>
      </c>
      <c r="V47">
        <f t="shared" si="16"/>
        <v>-132</v>
      </c>
      <c r="W47">
        <f t="shared" si="17"/>
        <v>-123</v>
      </c>
      <c r="X47">
        <f t="shared" si="18"/>
        <v>221</v>
      </c>
    </row>
    <row r="48" spans="2:24" x14ac:dyDescent="0.15">
      <c r="B48">
        <v>44</v>
      </c>
      <c r="C48">
        <f t="shared" si="0"/>
        <v>3.0892327760299629</v>
      </c>
      <c r="D48">
        <f t="shared" si="1"/>
        <v>2.7390523158633755E-3</v>
      </c>
      <c r="E48">
        <f t="shared" si="2"/>
        <v>-0.43064061300438705</v>
      </c>
      <c r="F48">
        <f t="shared" si="3"/>
        <v>0.90869851032300752</v>
      </c>
      <c r="G48">
        <f t="shared" si="4"/>
        <v>-0.4174530121304037</v>
      </c>
      <c r="H48">
        <f t="shared" si="5"/>
        <v>0.1045284632676543</v>
      </c>
      <c r="I48">
        <f t="shared" si="6"/>
        <v>2.6666666666666665</v>
      </c>
      <c r="J48">
        <f t="shared" si="7"/>
        <v>12.264673023404772</v>
      </c>
      <c r="K48">
        <f t="shared" si="8"/>
        <v>61.967733539318665</v>
      </c>
      <c r="L48">
        <f t="shared" si="9"/>
        <v>-25.868617020882819</v>
      </c>
      <c r="M48">
        <v>256</v>
      </c>
      <c r="N48">
        <v>80</v>
      </c>
      <c r="O48">
        <f t="shared" si="10"/>
        <v>0.81333333333333324</v>
      </c>
      <c r="P48">
        <v>192</v>
      </c>
      <c r="Q48">
        <f t="shared" si="11"/>
        <v>-53.523354049381886</v>
      </c>
      <c r="R48">
        <f t="shared" si="12"/>
        <v>200.59611434602974</v>
      </c>
      <c r="S48">
        <f t="shared" si="13"/>
        <v>-122.31314297605495</v>
      </c>
      <c r="T48">
        <f t="shared" si="14"/>
        <v>50.856678034152466</v>
      </c>
      <c r="U48">
        <f t="shared" si="15"/>
        <v>286</v>
      </c>
      <c r="V48">
        <f t="shared" si="16"/>
        <v>-132</v>
      </c>
      <c r="W48">
        <f t="shared" si="17"/>
        <v>-123</v>
      </c>
      <c r="X48">
        <f t="shared" si="18"/>
        <v>217</v>
      </c>
    </row>
    <row r="49" spans="2:24" x14ac:dyDescent="0.15">
      <c r="B49">
        <v>45</v>
      </c>
      <c r="C49">
        <f t="shared" si="0"/>
        <v>3.1415926535897931</v>
      </c>
      <c r="D49">
        <f t="shared" si="1"/>
        <v>1.5009887365649789E-32</v>
      </c>
      <c r="E49">
        <f t="shared" si="2"/>
        <v>-0.4330127018922193</v>
      </c>
      <c r="F49">
        <f t="shared" si="3"/>
        <v>0.90770571906660835</v>
      </c>
      <c r="G49">
        <f t="shared" si="4"/>
        <v>-0.41960734928474686</v>
      </c>
      <c r="H49" s="4">
        <f t="shared" si="5"/>
        <v>2.45029690981724E-16</v>
      </c>
      <c r="I49">
        <f t="shared" si="6"/>
        <v>2.5</v>
      </c>
      <c r="J49">
        <f t="shared" si="7"/>
        <v>2.756584023544395E-14</v>
      </c>
      <c r="K49">
        <f t="shared" si="8"/>
        <v>60</v>
      </c>
      <c r="L49">
        <f t="shared" si="9"/>
        <v>-25.176440957084811</v>
      </c>
      <c r="M49">
        <v>256</v>
      </c>
      <c r="N49">
        <v>80</v>
      </c>
      <c r="O49">
        <f t="shared" si="10"/>
        <v>0.82499999999999996</v>
      </c>
      <c r="P49">
        <v>192</v>
      </c>
      <c r="Q49">
        <f t="shared" si="11"/>
        <v>-48.516634692248374</v>
      </c>
      <c r="R49">
        <f t="shared" si="12"/>
        <v>199.64121236605274</v>
      </c>
      <c r="S49">
        <f t="shared" si="13"/>
        <v>-121.75719020376782</v>
      </c>
      <c r="T49">
        <f t="shared" si="14"/>
        <v>41.20530503806296</v>
      </c>
      <c r="U49">
        <f t="shared" si="15"/>
        <v>281</v>
      </c>
      <c r="V49">
        <f t="shared" si="16"/>
        <v>-131</v>
      </c>
      <c r="W49">
        <f t="shared" si="17"/>
        <v>-122</v>
      </c>
      <c r="X49">
        <f t="shared" si="18"/>
        <v>212</v>
      </c>
    </row>
    <row r="50" spans="2:24" x14ac:dyDescent="0.15">
      <c r="B50">
        <v>46</v>
      </c>
      <c r="C50">
        <f t="shared" si="0"/>
        <v>3.1939525311496229</v>
      </c>
      <c r="D50">
        <f t="shared" si="1"/>
        <v>2.7390523158633026E-3</v>
      </c>
      <c r="E50">
        <f t="shared" si="2"/>
        <v>-0.43064061300438711</v>
      </c>
      <c r="F50">
        <f t="shared" si="3"/>
        <v>0.90869851032300752</v>
      </c>
      <c r="G50">
        <f t="shared" si="4"/>
        <v>-0.41745301213040376</v>
      </c>
      <c r="H50">
        <f t="shared" si="5"/>
        <v>0.10452846326765293</v>
      </c>
      <c r="I50">
        <f t="shared" si="6"/>
        <v>2.3333333333333335</v>
      </c>
      <c r="J50">
        <f t="shared" si="7"/>
        <v>11.219388390728083</v>
      </c>
      <c r="K50">
        <f t="shared" si="8"/>
        <v>57.965506984757745</v>
      </c>
      <c r="L50">
        <f t="shared" si="9"/>
        <v>-24.197875490453079</v>
      </c>
      <c r="M50">
        <v>256</v>
      </c>
      <c r="N50">
        <v>80</v>
      </c>
      <c r="O50">
        <f t="shared" si="10"/>
        <v>0.83666666666666667</v>
      </c>
      <c r="P50">
        <v>192</v>
      </c>
      <c r="Q50">
        <f t="shared" si="11"/>
        <v>-44.028595693255852</v>
      </c>
      <c r="R50">
        <f t="shared" si="12"/>
        <v>197.62916674479217</v>
      </c>
      <c r="S50">
        <f t="shared" si="13"/>
        <v>-111.19351476521956</v>
      </c>
      <c r="T50">
        <f t="shared" si="14"/>
        <v>51.426695728501045</v>
      </c>
      <c r="U50">
        <f t="shared" si="15"/>
        <v>278</v>
      </c>
      <c r="V50">
        <f t="shared" si="16"/>
        <v>-128</v>
      </c>
      <c r="W50">
        <f t="shared" si="17"/>
        <v>-112</v>
      </c>
      <c r="X50">
        <f t="shared" si="18"/>
        <v>217</v>
      </c>
    </row>
    <row r="51" spans="2:24" x14ac:dyDescent="0.15">
      <c r="B51">
        <v>47</v>
      </c>
      <c r="C51">
        <f t="shared" si="0"/>
        <v>3.246312408709453</v>
      </c>
      <c r="D51">
        <f t="shared" si="1"/>
        <v>1.0926199633097187E-2</v>
      </c>
      <c r="E51">
        <f t="shared" si="2"/>
        <v>-0.42355033544313692</v>
      </c>
      <c r="F51">
        <f t="shared" si="3"/>
        <v>0.91163550228179946</v>
      </c>
      <c r="G51">
        <f t="shared" si="4"/>
        <v>-0.41099964839329378</v>
      </c>
      <c r="H51">
        <f t="shared" si="5"/>
        <v>0.20791169081775937</v>
      </c>
      <c r="I51">
        <f t="shared" si="6"/>
        <v>2.1666666666666665</v>
      </c>
      <c r="J51">
        <f t="shared" si="7"/>
        <v>21.172340514941826</v>
      </c>
      <c r="K51">
        <f t="shared" si="8"/>
        <v>55.856960175075763</v>
      </c>
      <c r="L51">
        <f t="shared" si="9"/>
        <v>-22.957190992274352</v>
      </c>
      <c r="M51">
        <v>256</v>
      </c>
      <c r="N51">
        <v>80</v>
      </c>
      <c r="O51">
        <f t="shared" si="10"/>
        <v>0.84833333333333338</v>
      </c>
      <c r="P51">
        <v>192</v>
      </c>
      <c r="Q51">
        <f t="shared" si="11"/>
        <v>-40.031170204648312</v>
      </c>
      <c r="R51">
        <f t="shared" si="12"/>
        <v>194.59121552733868</v>
      </c>
      <c r="S51">
        <f t="shared" si="13"/>
        <v>-101.09431548355353</v>
      </c>
      <c r="T51">
        <f t="shared" si="14"/>
        <v>59.14747163398124</v>
      </c>
      <c r="U51">
        <f t="shared" si="15"/>
        <v>275</v>
      </c>
      <c r="V51">
        <f t="shared" si="16"/>
        <v>-125</v>
      </c>
      <c r="W51">
        <f t="shared" si="17"/>
        <v>-102</v>
      </c>
      <c r="X51">
        <f t="shared" si="18"/>
        <v>221</v>
      </c>
    </row>
    <row r="52" spans="2:24" x14ac:dyDescent="0.15">
      <c r="B52">
        <v>48</v>
      </c>
      <c r="C52">
        <f t="shared" si="0"/>
        <v>3.2986722862692828</v>
      </c>
      <c r="D52">
        <f t="shared" si="1"/>
        <v>2.4471741852423172E-2</v>
      </c>
      <c r="E52">
        <f t="shared" si="2"/>
        <v>-0.41181955177316598</v>
      </c>
      <c r="F52">
        <f t="shared" si="3"/>
        <v>0.91639401472026416</v>
      </c>
      <c r="G52">
        <f t="shared" si="4"/>
        <v>-0.40027741603152722</v>
      </c>
      <c r="H52">
        <f t="shared" si="5"/>
        <v>0.30901699437494717</v>
      </c>
      <c r="I52">
        <f t="shared" si="6"/>
        <v>2</v>
      </c>
      <c r="J52">
        <f t="shared" si="7"/>
        <v>29.665631459994927</v>
      </c>
      <c r="K52">
        <f t="shared" si="8"/>
        <v>53.665631459994948</v>
      </c>
      <c r="L52">
        <f t="shared" si="9"/>
        <v>-21.481140290507014</v>
      </c>
      <c r="M52">
        <v>256</v>
      </c>
      <c r="N52">
        <v>80</v>
      </c>
      <c r="O52">
        <f t="shared" si="10"/>
        <v>0.85999999999999988</v>
      </c>
      <c r="P52">
        <v>192</v>
      </c>
      <c r="Q52">
        <f t="shared" si="11"/>
        <v>-36.472243936223762</v>
      </c>
      <c r="R52">
        <f t="shared" si="12"/>
        <v>190.55393176886207</v>
      </c>
      <c r="S52">
        <f t="shared" si="13"/>
        <v>-91.620956872961713</v>
      </c>
      <c r="T52">
        <f t="shared" si="14"/>
        <v>64.296620137840392</v>
      </c>
      <c r="U52">
        <f t="shared" si="15"/>
        <v>272</v>
      </c>
      <c r="V52">
        <f t="shared" si="16"/>
        <v>-120</v>
      </c>
      <c r="W52">
        <f t="shared" si="17"/>
        <v>-92</v>
      </c>
      <c r="X52">
        <f t="shared" si="18"/>
        <v>224</v>
      </c>
    </row>
    <row r="53" spans="2:24" x14ac:dyDescent="0.15">
      <c r="B53">
        <v>49</v>
      </c>
      <c r="C53">
        <f t="shared" si="0"/>
        <v>3.3510321638291125</v>
      </c>
      <c r="D53">
        <f t="shared" si="1"/>
        <v>4.3227271178699442E-2</v>
      </c>
      <c r="E53">
        <f t="shared" si="2"/>
        <v>-0.39557678691518666</v>
      </c>
      <c r="F53">
        <f t="shared" si="3"/>
        <v>0.92277445851456674</v>
      </c>
      <c r="G53">
        <f t="shared" si="4"/>
        <v>-0.38534049711021578</v>
      </c>
      <c r="H53">
        <f t="shared" si="5"/>
        <v>0.40673664307579971</v>
      </c>
      <c r="I53">
        <f t="shared" si="6"/>
        <v>1.8333333333333333</v>
      </c>
      <c r="J53">
        <f t="shared" si="7"/>
        <v>36.538508436309336</v>
      </c>
      <c r="K53">
        <f t="shared" si="8"/>
        <v>51.380930314660517</v>
      </c>
      <c r="L53">
        <f t="shared" si="9"/>
        <v>-19.799153229436641</v>
      </c>
      <c r="M53">
        <v>256</v>
      </c>
      <c r="N53">
        <v>80</v>
      </c>
      <c r="O53">
        <f t="shared" si="10"/>
        <v>0.87166666666666659</v>
      </c>
      <c r="P53">
        <v>192</v>
      </c>
      <c r="Q53">
        <f t="shared" si="11"/>
        <v>-33.280012991807766</v>
      </c>
      <c r="R53">
        <f t="shared" si="12"/>
        <v>185.54133083103955</v>
      </c>
      <c r="S53">
        <f t="shared" si="13"/>
        <v>-82.85879082538753</v>
      </c>
      <c r="T53">
        <f t="shared" si="14"/>
        <v>66.815086866834378</v>
      </c>
      <c r="U53">
        <f t="shared" si="15"/>
        <v>271</v>
      </c>
      <c r="V53">
        <f t="shared" si="16"/>
        <v>-114</v>
      </c>
      <c r="W53">
        <f t="shared" si="17"/>
        <v>-83</v>
      </c>
      <c r="X53">
        <f t="shared" si="18"/>
        <v>225</v>
      </c>
    </row>
    <row r="54" spans="2:24" x14ac:dyDescent="0.15">
      <c r="B54">
        <v>50</v>
      </c>
      <c r="C54">
        <f t="shared" si="0"/>
        <v>3.4033920413889427</v>
      </c>
      <c r="D54">
        <f t="shared" si="1"/>
        <v>6.6987298107780688E-2</v>
      </c>
      <c r="E54">
        <f t="shared" si="2"/>
        <v>-0.37499999999999994</v>
      </c>
      <c r="F54">
        <f t="shared" si="3"/>
        <v>0.93050762191231429</v>
      </c>
      <c r="G54">
        <f t="shared" si="4"/>
        <v>-0.36627252908604752</v>
      </c>
      <c r="H54">
        <f t="shared" si="5"/>
        <v>0.5</v>
      </c>
      <c r="I54">
        <f t="shared" si="6"/>
        <v>1.6666666666666667</v>
      </c>
      <c r="J54">
        <f t="shared" si="7"/>
        <v>41.666666666666671</v>
      </c>
      <c r="K54">
        <f t="shared" si="8"/>
        <v>48.989794855663561</v>
      </c>
      <c r="L54">
        <f t="shared" si="9"/>
        <v>-17.943616061190532</v>
      </c>
      <c r="M54">
        <v>256</v>
      </c>
      <c r="N54">
        <v>80</v>
      </c>
      <c r="O54">
        <f t="shared" si="10"/>
        <v>0.8833333333333333</v>
      </c>
      <c r="P54">
        <v>192</v>
      </c>
      <c r="Q54">
        <f t="shared" si="11"/>
        <v>-30.368314388344633</v>
      </c>
      <c r="R54">
        <f t="shared" si="12"/>
        <v>179.57767177491664</v>
      </c>
      <c r="S54">
        <f t="shared" si="13"/>
        <v>-74.81629205322065</v>
      </c>
      <c r="T54">
        <f t="shared" si="14"/>
        <v>66.658523568639268</v>
      </c>
      <c r="U54">
        <f t="shared" si="15"/>
        <v>269</v>
      </c>
      <c r="V54">
        <f t="shared" si="16"/>
        <v>-107</v>
      </c>
      <c r="W54">
        <f t="shared" si="17"/>
        <v>-75</v>
      </c>
      <c r="X54">
        <f t="shared" si="18"/>
        <v>225</v>
      </c>
    </row>
    <row r="55" spans="2:24" x14ac:dyDescent="0.15">
      <c r="B55">
        <v>51</v>
      </c>
      <c r="C55">
        <f t="shared" si="0"/>
        <v>3.4557519189487724</v>
      </c>
      <c r="D55">
        <f t="shared" si="1"/>
        <v>9.5491502812526205E-2</v>
      </c>
      <c r="E55">
        <f t="shared" si="2"/>
        <v>-0.35031463461101842</v>
      </c>
      <c r="F55">
        <f t="shared" si="3"/>
        <v>0.93926477883431958</v>
      </c>
      <c r="G55">
        <f t="shared" si="4"/>
        <v>-0.34319334964610937</v>
      </c>
      <c r="H55">
        <f t="shared" si="5"/>
        <v>0.58778525229247292</v>
      </c>
      <c r="I55">
        <f t="shared" si="6"/>
        <v>1.5</v>
      </c>
      <c r="J55">
        <f t="shared" si="7"/>
        <v>44.965571800374178</v>
      </c>
      <c r="K55">
        <f t="shared" si="8"/>
        <v>46.475800154489001</v>
      </c>
      <c r="L55">
        <f t="shared" si="9"/>
        <v>-15.950185532502248</v>
      </c>
      <c r="M55">
        <v>256</v>
      </c>
      <c r="N55">
        <v>80</v>
      </c>
      <c r="O55">
        <f t="shared" si="10"/>
        <v>0.89500000000000002</v>
      </c>
      <c r="P55">
        <v>192</v>
      </c>
      <c r="Q55">
        <f t="shared" si="11"/>
        <v>-27.64265796877088</v>
      </c>
      <c r="R55">
        <f t="shared" si="12"/>
        <v>172.69080408610856</v>
      </c>
      <c r="S55">
        <f t="shared" si="13"/>
        <v>-67.428473712495588</v>
      </c>
      <c r="T55">
        <f t="shared" si="14"/>
        <v>63.803451042097684</v>
      </c>
      <c r="U55">
        <f t="shared" si="15"/>
        <v>268</v>
      </c>
      <c r="V55">
        <f t="shared" si="16"/>
        <v>-99</v>
      </c>
      <c r="W55">
        <f t="shared" si="17"/>
        <v>-68</v>
      </c>
      <c r="X55">
        <f t="shared" si="18"/>
        <v>223</v>
      </c>
    </row>
    <row r="56" spans="2:24" x14ac:dyDescent="0.15">
      <c r="B56">
        <v>52</v>
      </c>
      <c r="C56">
        <f t="shared" si="0"/>
        <v>3.5081117965086026</v>
      </c>
      <c r="D56">
        <f t="shared" si="1"/>
        <v>0.12842758726130299</v>
      </c>
      <c r="E56">
        <f t="shared" si="2"/>
        <v>-0.32179114877718817</v>
      </c>
      <c r="F56">
        <f t="shared" si="3"/>
        <v>0.94867046019857504</v>
      </c>
      <c r="G56">
        <f t="shared" si="4"/>
        <v>-0.31626627696708959</v>
      </c>
      <c r="H56">
        <f t="shared" si="5"/>
        <v>0.66913060635885846</v>
      </c>
      <c r="I56">
        <f t="shared" si="6"/>
        <v>1.3333333333333333</v>
      </c>
      <c r="J56">
        <f t="shared" si="7"/>
        <v>46.393055374214185</v>
      </c>
      <c r="K56">
        <f t="shared" si="8"/>
        <v>43.81780460041329</v>
      </c>
      <c r="L56">
        <f t="shared" si="9"/>
        <v>-13.858093925844122</v>
      </c>
      <c r="M56">
        <v>256</v>
      </c>
      <c r="N56">
        <v>80</v>
      </c>
      <c r="O56">
        <f t="shared" si="10"/>
        <v>0.90666666666666673</v>
      </c>
      <c r="P56">
        <v>192</v>
      </c>
      <c r="Q56">
        <f t="shared" si="11"/>
        <v>-25.006658986409114</v>
      </c>
      <c r="R56">
        <f t="shared" si="12"/>
        <v>164.91586572480301</v>
      </c>
      <c r="S56">
        <f t="shared" si="13"/>
        <v>-60.564626427910234</v>
      </c>
      <c r="T56">
        <f t="shared" si="14"/>
        <v>58.256396179256015</v>
      </c>
      <c r="U56">
        <f t="shared" si="15"/>
        <v>267</v>
      </c>
      <c r="V56">
        <f t="shared" si="16"/>
        <v>-90</v>
      </c>
      <c r="W56">
        <f t="shared" si="17"/>
        <v>-61</v>
      </c>
      <c r="X56">
        <f t="shared" si="18"/>
        <v>221</v>
      </c>
    </row>
    <row r="57" spans="2:24" x14ac:dyDescent="0.15">
      <c r="B57">
        <v>53</v>
      </c>
      <c r="C57">
        <f t="shared" si="0"/>
        <v>3.5604716740684323</v>
      </c>
      <c r="D57">
        <f t="shared" si="1"/>
        <v>0.16543469682057088</v>
      </c>
      <c r="E57">
        <f t="shared" si="2"/>
        <v>-0.2897420517782282</v>
      </c>
      <c r="F57">
        <f t="shared" si="3"/>
        <v>0.95831760450038384</v>
      </c>
      <c r="G57">
        <f t="shared" si="4"/>
        <v>-0.2857050382906221</v>
      </c>
      <c r="H57">
        <f t="shared" si="5"/>
        <v>0.74314482547739424</v>
      </c>
      <c r="I57">
        <f t="shared" si="6"/>
        <v>1.1666666666666667</v>
      </c>
      <c r="J57">
        <f t="shared" si="7"/>
        <v>45.951121708685548</v>
      </c>
      <c r="K57">
        <f t="shared" si="8"/>
        <v>40.987803063838392</v>
      </c>
      <c r="L57">
        <f t="shared" si="9"/>
        <v>-11.710421843802425</v>
      </c>
      <c r="M57">
        <v>256</v>
      </c>
      <c r="N57">
        <v>80</v>
      </c>
      <c r="O57">
        <f t="shared" si="10"/>
        <v>0.91833333333333322</v>
      </c>
      <c r="P57">
        <v>192</v>
      </c>
      <c r="Q57">
        <f t="shared" si="11"/>
        <v>-22.368553955791221</v>
      </c>
      <c r="R57">
        <f t="shared" si="12"/>
        <v>156.29908996045859</v>
      </c>
      <c r="S57">
        <f t="shared" si="13"/>
        <v>-54.040296239493763</v>
      </c>
      <c r="T57">
        <f t="shared" si="14"/>
        <v>50.065092907885116</v>
      </c>
      <c r="U57">
        <f t="shared" si="15"/>
        <v>267</v>
      </c>
      <c r="V57">
        <f t="shared" si="16"/>
        <v>-80</v>
      </c>
      <c r="W57">
        <f t="shared" si="17"/>
        <v>-55</v>
      </c>
      <c r="X57">
        <f t="shared" si="18"/>
        <v>217</v>
      </c>
    </row>
    <row r="58" spans="2:24" x14ac:dyDescent="0.15">
      <c r="B58">
        <v>54</v>
      </c>
      <c r="C58">
        <f t="shared" si="0"/>
        <v>3.6128315516282621</v>
      </c>
      <c r="D58">
        <f t="shared" si="1"/>
        <v>0.20610737385376335</v>
      </c>
      <c r="E58">
        <f t="shared" si="2"/>
        <v>-0.25451848022756368</v>
      </c>
      <c r="F58">
        <f t="shared" si="3"/>
        <v>0.96778464465381719</v>
      </c>
      <c r="G58">
        <f t="shared" si="4"/>
        <v>-0.25177943039947653</v>
      </c>
      <c r="H58">
        <f t="shared" si="5"/>
        <v>0.80901699437494723</v>
      </c>
      <c r="I58">
        <f t="shared" si="6"/>
        <v>1</v>
      </c>
      <c r="J58">
        <f t="shared" si="7"/>
        <v>43.68691769624715</v>
      </c>
      <c r="K58">
        <f t="shared" si="8"/>
        <v>37.947331922020545</v>
      </c>
      <c r="L58">
        <f t="shared" si="9"/>
        <v>-9.5543576165062056</v>
      </c>
      <c r="M58">
        <v>256</v>
      </c>
      <c r="N58">
        <v>80</v>
      </c>
      <c r="O58">
        <f t="shared" si="10"/>
        <v>0.92999999999999994</v>
      </c>
      <c r="P58">
        <v>192</v>
      </c>
      <c r="Q58">
        <f t="shared" si="11"/>
        <v>-19.647495033127061</v>
      </c>
      <c r="R58">
        <f t="shared" si="12"/>
        <v>146.90143528391971</v>
      </c>
      <c r="S58">
        <f t="shared" si="13"/>
        <v>-47.633229906027708</v>
      </c>
      <c r="T58">
        <f t="shared" si="14"/>
        <v>39.330437778785964</v>
      </c>
      <c r="U58">
        <f t="shared" si="15"/>
        <v>266</v>
      </c>
      <c r="V58">
        <f t="shared" si="16"/>
        <v>-70</v>
      </c>
      <c r="W58">
        <f t="shared" si="17"/>
        <v>-48</v>
      </c>
      <c r="X58">
        <f t="shared" si="18"/>
        <v>211</v>
      </c>
    </row>
    <row r="59" spans="2:24" x14ac:dyDescent="0.15">
      <c r="B59">
        <v>55</v>
      </c>
      <c r="C59">
        <f t="shared" si="0"/>
        <v>3.6651914291880923</v>
      </c>
      <c r="D59">
        <f t="shared" si="1"/>
        <v>0.25000000000000011</v>
      </c>
      <c r="E59">
        <f t="shared" si="2"/>
        <v>-0.21650635094610957</v>
      </c>
      <c r="F59">
        <f t="shared" si="3"/>
        <v>0.97665390980290667</v>
      </c>
      <c r="G59">
        <f t="shared" si="4"/>
        <v>-0.21481885500741271</v>
      </c>
      <c r="H59">
        <f t="shared" si="5"/>
        <v>0.86602540378443882</v>
      </c>
      <c r="I59">
        <f t="shared" si="6"/>
        <v>0.83333333333333337</v>
      </c>
      <c r="J59">
        <f t="shared" si="7"/>
        <v>39.692831006786783</v>
      </c>
      <c r="K59">
        <f t="shared" si="8"/>
        <v>34.641016151377549</v>
      </c>
      <c r="L59">
        <f t="shared" si="9"/>
        <v>-7.441543425932216</v>
      </c>
      <c r="M59">
        <v>256</v>
      </c>
      <c r="N59">
        <v>80</v>
      </c>
      <c r="O59">
        <f t="shared" si="10"/>
        <v>0.94166666666666665</v>
      </c>
      <c r="P59">
        <v>192</v>
      </c>
      <c r="Q59">
        <f t="shared" si="11"/>
        <v>-16.779388669031295</v>
      </c>
      <c r="R59">
        <f t="shared" si="12"/>
        <v>136.80172789474196</v>
      </c>
      <c r="S59">
        <f t="shared" si="13"/>
        <v>-41.102795509956749</v>
      </c>
      <c r="T59">
        <f t="shared" si="14"/>
        <v>26.217624883407659</v>
      </c>
      <c r="U59">
        <f t="shared" si="15"/>
        <v>265</v>
      </c>
      <c r="V59">
        <f t="shared" si="16"/>
        <v>-59</v>
      </c>
      <c r="W59">
        <f t="shared" si="17"/>
        <v>-42</v>
      </c>
      <c r="X59">
        <f t="shared" si="18"/>
        <v>205</v>
      </c>
    </row>
    <row r="60" spans="2:24" x14ac:dyDescent="0.15">
      <c r="B60">
        <v>56</v>
      </c>
      <c r="C60">
        <f t="shared" si="0"/>
        <v>3.717551306747922</v>
      </c>
      <c r="D60">
        <f t="shared" si="1"/>
        <v>0.29663167846209992</v>
      </c>
      <c r="E60">
        <f t="shared" si="2"/>
        <v>-0.17612213277682345</v>
      </c>
      <c r="F60">
        <f t="shared" si="3"/>
        <v>0.98453054652314365</v>
      </c>
      <c r="G60">
        <f t="shared" si="4"/>
        <v>-0.17521302167030881</v>
      </c>
      <c r="H60">
        <f t="shared" si="5"/>
        <v>0.91354545764260087</v>
      </c>
      <c r="I60">
        <f t="shared" si="6"/>
        <v>0.66666666666666663</v>
      </c>
      <c r="J60">
        <f t="shared" si="7"/>
        <v>34.105697085323762</v>
      </c>
      <c r="K60">
        <f t="shared" si="8"/>
        <v>30.983866769659333</v>
      </c>
      <c r="L60">
        <f t="shared" si="9"/>
        <v>-5.4287769197422815</v>
      </c>
      <c r="M60">
        <v>256</v>
      </c>
      <c r="N60">
        <v>80</v>
      </c>
      <c r="O60">
        <f t="shared" si="10"/>
        <v>0.95333333333333337</v>
      </c>
      <c r="P60">
        <v>192</v>
      </c>
      <c r="Q60">
        <f t="shared" si="11"/>
        <v>-13.722230179695172</v>
      </c>
      <c r="R60">
        <f t="shared" si="12"/>
        <v>126.09901760688197</v>
      </c>
      <c r="S60">
        <f t="shared" si="13"/>
        <v>-34.212211070620626</v>
      </c>
      <c r="T60">
        <f t="shared" si="14"/>
        <v>10.964811869877231</v>
      </c>
      <c r="U60">
        <f t="shared" si="15"/>
        <v>264</v>
      </c>
      <c r="V60">
        <f t="shared" si="16"/>
        <v>-48</v>
      </c>
      <c r="W60">
        <f t="shared" si="17"/>
        <v>-35</v>
      </c>
      <c r="X60">
        <f t="shared" si="18"/>
        <v>197</v>
      </c>
    </row>
    <row r="61" spans="2:24" x14ac:dyDescent="0.15">
      <c r="B61">
        <v>57</v>
      </c>
      <c r="C61">
        <f t="shared" si="0"/>
        <v>3.7699111843077517</v>
      </c>
      <c r="D61">
        <f t="shared" si="1"/>
        <v>0.34549150281252616</v>
      </c>
      <c r="E61">
        <f t="shared" si="2"/>
        <v>-0.13380828366490882</v>
      </c>
      <c r="F61">
        <f t="shared" si="3"/>
        <v>0.9910610210058366</v>
      </c>
      <c r="G61">
        <f t="shared" si="4"/>
        <v>-0.13340934241224944</v>
      </c>
      <c r="H61">
        <f t="shared" si="5"/>
        <v>0.95105651629515353</v>
      </c>
      <c r="I61">
        <f t="shared" si="6"/>
        <v>0.5</v>
      </c>
      <c r="J61">
        <f t="shared" si="7"/>
        <v>27.105110714411875</v>
      </c>
      <c r="K61">
        <f t="shared" si="8"/>
        <v>26.832815729997474</v>
      </c>
      <c r="L61">
        <f t="shared" si="9"/>
        <v>-3.579748301608026</v>
      </c>
      <c r="M61">
        <v>256</v>
      </c>
      <c r="N61">
        <v>80</v>
      </c>
      <c r="O61">
        <f t="shared" si="10"/>
        <v>0.96499999999999986</v>
      </c>
      <c r="P61">
        <v>192</v>
      </c>
      <c r="Q61">
        <f t="shared" si="11"/>
        <v>-10.461346289112955</v>
      </c>
      <c r="R61">
        <f t="shared" si="12"/>
        <v>114.91392207871412</v>
      </c>
      <c r="S61">
        <f t="shared" si="13"/>
        <v>-26.752986637110624</v>
      </c>
      <c r="T61">
        <f t="shared" si="14"/>
        <v>-6.1121576935219153</v>
      </c>
      <c r="U61">
        <f t="shared" si="15"/>
        <v>262</v>
      </c>
      <c r="V61">
        <f t="shared" si="16"/>
        <v>-36</v>
      </c>
      <c r="W61">
        <f t="shared" si="17"/>
        <v>-27</v>
      </c>
      <c r="X61">
        <f t="shared" si="18"/>
        <v>188</v>
      </c>
    </row>
    <row r="62" spans="2:24" x14ac:dyDescent="0.15">
      <c r="B62">
        <v>58</v>
      </c>
      <c r="C62">
        <f t="shared" si="0"/>
        <v>3.8222710618675819</v>
      </c>
      <c r="D62">
        <f t="shared" si="1"/>
        <v>0.39604415459112052</v>
      </c>
      <c r="E62">
        <f t="shared" si="2"/>
        <v>-9.002840299597753E-2</v>
      </c>
      <c r="F62">
        <f t="shared" si="3"/>
        <v>0.99595017979019074</v>
      </c>
      <c r="G62">
        <f t="shared" si="4"/>
        <v>-8.9906837203222928E-2</v>
      </c>
      <c r="H62">
        <f t="shared" si="5"/>
        <v>0.97814760073380569</v>
      </c>
      <c r="I62">
        <f t="shared" si="6"/>
        <v>0.33333333333333331</v>
      </c>
      <c r="J62">
        <f t="shared" si="7"/>
        <v>18.910853614186909</v>
      </c>
      <c r="K62">
        <f t="shared" si="8"/>
        <v>21.908902300206645</v>
      </c>
      <c r="L62">
        <f t="shared" si="9"/>
        <v>-1.9697601124059951</v>
      </c>
      <c r="M62">
        <v>256</v>
      </c>
      <c r="N62">
        <v>80</v>
      </c>
      <c r="O62">
        <f t="shared" si="10"/>
        <v>0.97666666666666657</v>
      </c>
      <c r="P62">
        <v>192</v>
      </c>
      <c r="Q62">
        <f t="shared" si="11"/>
        <v>-7.0163010537484016</v>
      </c>
      <c r="R62">
        <f t="shared" si="12"/>
        <v>103.38892932079578</v>
      </c>
      <c r="S62">
        <f t="shared" si="13"/>
        <v>-18.571974641668806</v>
      </c>
      <c r="T62">
        <f t="shared" si="14"/>
        <v>-24.619969062224243</v>
      </c>
      <c r="U62">
        <f t="shared" si="15"/>
        <v>261</v>
      </c>
      <c r="V62">
        <f t="shared" si="16"/>
        <v>-24</v>
      </c>
      <c r="W62">
        <f t="shared" si="17"/>
        <v>-19</v>
      </c>
      <c r="X62">
        <f t="shared" si="18"/>
        <v>179</v>
      </c>
    </row>
    <row r="63" spans="2:24" x14ac:dyDescent="0.15">
      <c r="B63">
        <v>59</v>
      </c>
      <c r="C63">
        <f t="shared" si="0"/>
        <v>3.8746309394274117</v>
      </c>
      <c r="D63">
        <f t="shared" si="1"/>
        <v>0.44773576836617329</v>
      </c>
      <c r="E63">
        <f t="shared" si="2"/>
        <v>-4.5262152304168204E-2</v>
      </c>
      <c r="F63">
        <f t="shared" si="3"/>
        <v>0.99897584364819536</v>
      </c>
      <c r="G63">
        <f t="shared" si="4"/>
        <v>-4.5246699408644619E-2</v>
      </c>
      <c r="H63">
        <f t="shared" si="5"/>
        <v>0.99452189536827329</v>
      </c>
      <c r="I63">
        <f t="shared" si="6"/>
        <v>0.16666666666666666</v>
      </c>
      <c r="J63">
        <f t="shared" si="7"/>
        <v>9.7794653044546873</v>
      </c>
      <c r="K63">
        <f t="shared" si="8"/>
        <v>15.491933384829666</v>
      </c>
      <c r="L63">
        <f t="shared" si="9"/>
        <v>-0.70095885312213435</v>
      </c>
      <c r="M63">
        <v>256</v>
      </c>
      <c r="N63">
        <v>80</v>
      </c>
      <c r="O63">
        <f t="shared" si="10"/>
        <v>0.98833333333333329</v>
      </c>
      <c r="P63">
        <v>192</v>
      </c>
      <c r="Q63">
        <f t="shared" si="11"/>
        <v>-3.4568844428792858</v>
      </c>
      <c r="R63">
        <f t="shared" si="12"/>
        <v>91.688170989838881</v>
      </c>
      <c r="S63">
        <f t="shared" si="13"/>
        <v>-9.6068323895760699</v>
      </c>
      <c r="T63">
        <f t="shared" si="14"/>
        <v>-44.092991365400884</v>
      </c>
      <c r="U63">
        <f t="shared" si="15"/>
        <v>258</v>
      </c>
      <c r="V63">
        <f t="shared" si="16"/>
        <v>-12</v>
      </c>
      <c r="W63">
        <f t="shared" si="17"/>
        <v>-10</v>
      </c>
      <c r="X63">
        <f t="shared" si="18"/>
        <v>169</v>
      </c>
    </row>
    <row r="64" spans="2:24" x14ac:dyDescent="0.15">
      <c r="B64">
        <v>60</v>
      </c>
      <c r="C64">
        <f t="shared" si="0"/>
        <v>3.926990816987241</v>
      </c>
      <c r="D64">
        <f t="shared" si="1"/>
        <v>0.49999999999999944</v>
      </c>
      <c r="E64">
        <f t="shared" si="2"/>
        <v>-4.8074067159589093E-16</v>
      </c>
      <c r="F64">
        <f t="shared" si="3"/>
        <v>1</v>
      </c>
      <c r="G64">
        <f t="shared" si="4"/>
        <v>-4.8074067159589093E-16</v>
      </c>
      <c r="H64">
        <f t="shared" si="5"/>
        <v>1</v>
      </c>
      <c r="I64">
        <f t="shared" si="6"/>
        <v>0</v>
      </c>
      <c r="J64">
        <f t="shared" si="7"/>
        <v>0</v>
      </c>
      <c r="K64">
        <f t="shared" si="8"/>
        <v>0</v>
      </c>
      <c r="L64">
        <f t="shared" si="9"/>
        <v>0</v>
      </c>
      <c r="M64">
        <v>256</v>
      </c>
      <c r="N64">
        <v>80</v>
      </c>
      <c r="O64">
        <f t="shared" si="10"/>
        <v>1</v>
      </c>
      <c r="P64">
        <v>192</v>
      </c>
      <c r="Q64">
        <f t="shared" si="11"/>
        <v>0</v>
      </c>
      <c r="R64">
        <f t="shared" si="12"/>
        <v>80.000000000000128</v>
      </c>
      <c r="S64">
        <f t="shared" si="13"/>
        <v>-6.9226656709808291E-14</v>
      </c>
      <c r="T64">
        <f t="shared" si="14"/>
        <v>-63.999999999999872</v>
      </c>
      <c r="U64">
        <f t="shared" si="15"/>
        <v>256</v>
      </c>
      <c r="V64">
        <f t="shared" si="16"/>
        <v>-1</v>
      </c>
      <c r="W64">
        <f t="shared" si="17"/>
        <v>-1</v>
      </c>
      <c r="X64">
        <f t="shared" si="18"/>
        <v>160</v>
      </c>
    </row>
  </sheetData>
  <mergeCells count="3">
    <mergeCell ref="H2:J2"/>
    <mergeCell ref="M2:N2"/>
    <mergeCell ref="K2:L2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4"/>
  <sheetViews>
    <sheetView zoomScale="85" zoomScaleNormal="85" workbookViewId="0">
      <selection activeCell="G4" sqref="G4"/>
    </sheetView>
  </sheetViews>
  <sheetFormatPr defaultRowHeight="13.5" x14ac:dyDescent="0.15"/>
  <cols>
    <col min="3" max="3" width="12.75" bestFit="1" customWidth="1"/>
    <col min="4" max="6" width="13.875" bestFit="1" customWidth="1"/>
    <col min="7" max="7" width="17.25" bestFit="1" customWidth="1"/>
    <col min="8" max="8" width="17.25" customWidth="1"/>
  </cols>
  <sheetData>
    <row r="1" spans="2:12" x14ac:dyDescent="0.15">
      <c r="B1" t="s">
        <v>8</v>
      </c>
    </row>
    <row r="2" spans="2:12" x14ac:dyDescent="0.15">
      <c r="D2" t="s">
        <v>4</v>
      </c>
      <c r="E2" t="s">
        <v>3</v>
      </c>
    </row>
    <row r="3" spans="2:12" x14ac:dyDescent="0.15">
      <c r="B3" t="s">
        <v>0</v>
      </c>
      <c r="C3" t="s">
        <v>1</v>
      </c>
      <c r="D3" t="s">
        <v>2</v>
      </c>
      <c r="E3" t="s">
        <v>7</v>
      </c>
      <c r="F3" t="s">
        <v>5</v>
      </c>
      <c r="G3" t="s">
        <v>9</v>
      </c>
      <c r="H3" t="s">
        <v>10</v>
      </c>
      <c r="I3" t="s">
        <v>3</v>
      </c>
      <c r="J3" t="s">
        <v>4</v>
      </c>
      <c r="K3" t="s">
        <v>5</v>
      </c>
      <c r="L3" t="s">
        <v>6</v>
      </c>
    </row>
    <row r="4" spans="2:12" x14ac:dyDescent="0.15">
      <c r="B4">
        <v>0</v>
      </c>
      <c r="C4">
        <f>B4/60*2*PI()</f>
        <v>0</v>
      </c>
      <c r="D4">
        <f>SIN(C4)</f>
        <v>0</v>
      </c>
      <c r="E4">
        <f>COS(C4)</f>
        <v>1</v>
      </c>
      <c r="F4">
        <f>211-211*E4+80*D4</f>
        <v>0</v>
      </c>
      <c r="G4">
        <f>80-211*D4-80*E4</f>
        <v>0</v>
      </c>
      <c r="H4">
        <f>G4/2</f>
        <v>0</v>
      </c>
      <c r="I4">
        <f>INT(E4*256)</f>
        <v>256</v>
      </c>
      <c r="J4">
        <f>INT(D4*256)</f>
        <v>0</v>
      </c>
      <c r="K4">
        <f>INT(F4)</f>
        <v>0</v>
      </c>
      <c r="L4">
        <f>INT(H4)+192</f>
        <v>192</v>
      </c>
    </row>
    <row r="5" spans="2:12" x14ac:dyDescent="0.15">
      <c r="B5">
        <v>1</v>
      </c>
      <c r="C5">
        <f t="shared" ref="C5:C64" si="0">B5/60*2*PI()</f>
        <v>0.10471975511965977</v>
      </c>
      <c r="D5">
        <f t="shared" ref="D5:D64" si="1">SIN(C5)</f>
        <v>0.10452846326765346</v>
      </c>
      <c r="E5">
        <f t="shared" ref="E5:E64" si="2">COS(C5)</f>
        <v>0.99452189536827329</v>
      </c>
      <c r="F5">
        <f t="shared" ref="F5:F64" si="3">211-211*E5+80*D5</f>
        <v>9.5181571387066182</v>
      </c>
      <c r="G5">
        <f t="shared" ref="G5:G64" si="4">80-211*D5-80*E5</f>
        <v>-21.617257378936742</v>
      </c>
      <c r="H5">
        <f t="shared" ref="H5:H64" si="5">G5/2</f>
        <v>-10.808628689468371</v>
      </c>
      <c r="I5">
        <f t="shared" ref="I5:I64" si="6">INT(E5*256)</f>
        <v>254</v>
      </c>
      <c r="J5">
        <f t="shared" ref="J5:J64" si="7">INT(D5*256)</f>
        <v>26</v>
      </c>
      <c r="K5">
        <f t="shared" ref="K5:K64" si="8">INT(F5)</f>
        <v>9</v>
      </c>
      <c r="L5">
        <f t="shared" ref="L5:L64" si="9">INT(H5)+192</f>
        <v>181</v>
      </c>
    </row>
    <row r="6" spans="2:12" x14ac:dyDescent="0.15">
      <c r="B6">
        <v>2</v>
      </c>
      <c r="C6">
        <f t="shared" si="0"/>
        <v>0.20943951023931953</v>
      </c>
      <c r="D6">
        <f t="shared" si="1"/>
        <v>0.20791169081775931</v>
      </c>
      <c r="E6">
        <f t="shared" si="2"/>
        <v>0.97814760073380569</v>
      </c>
      <c r="F6">
        <f t="shared" si="3"/>
        <v>21.24379151058773</v>
      </c>
      <c r="G6">
        <f t="shared" si="4"/>
        <v>-42.121174821251671</v>
      </c>
      <c r="H6">
        <f t="shared" si="5"/>
        <v>-21.060587410625836</v>
      </c>
      <c r="I6">
        <f t="shared" si="6"/>
        <v>250</v>
      </c>
      <c r="J6">
        <f t="shared" si="7"/>
        <v>53</v>
      </c>
      <c r="K6">
        <f t="shared" si="8"/>
        <v>21</v>
      </c>
      <c r="L6">
        <f t="shared" si="9"/>
        <v>170</v>
      </c>
    </row>
    <row r="7" spans="2:12" x14ac:dyDescent="0.15">
      <c r="B7">
        <v>3</v>
      </c>
      <c r="C7">
        <f t="shared" si="0"/>
        <v>0.31415926535897931</v>
      </c>
      <c r="D7">
        <f t="shared" si="1"/>
        <v>0.3090169943749474</v>
      </c>
      <c r="E7">
        <f t="shared" si="2"/>
        <v>0.95105651629515353</v>
      </c>
      <c r="F7">
        <f t="shared" si="3"/>
        <v>35.048434611718406</v>
      </c>
      <c r="G7">
        <f t="shared" si="4"/>
        <v>-61.287107116726176</v>
      </c>
      <c r="H7">
        <f t="shared" si="5"/>
        <v>-30.643553558363088</v>
      </c>
      <c r="I7">
        <f t="shared" si="6"/>
        <v>243</v>
      </c>
      <c r="J7">
        <f t="shared" si="7"/>
        <v>79</v>
      </c>
      <c r="K7">
        <f t="shared" si="8"/>
        <v>35</v>
      </c>
      <c r="L7">
        <f t="shared" si="9"/>
        <v>161</v>
      </c>
    </row>
    <row r="8" spans="2:12" x14ac:dyDescent="0.15">
      <c r="B8">
        <v>4</v>
      </c>
      <c r="C8">
        <f t="shared" si="0"/>
        <v>0.41887902047863906</v>
      </c>
      <c r="D8">
        <f t="shared" si="1"/>
        <v>0.40673664307580015</v>
      </c>
      <c r="E8">
        <f t="shared" si="2"/>
        <v>0.91354545764260087</v>
      </c>
      <c r="F8">
        <f t="shared" si="3"/>
        <v>50.780839883475224</v>
      </c>
      <c r="G8">
        <f t="shared" si="4"/>
        <v>-78.905068300401894</v>
      </c>
      <c r="H8">
        <f t="shared" si="5"/>
        <v>-39.452534150200947</v>
      </c>
      <c r="I8">
        <f t="shared" si="6"/>
        <v>233</v>
      </c>
      <c r="J8">
        <f t="shared" si="7"/>
        <v>104</v>
      </c>
      <c r="K8">
        <f t="shared" si="8"/>
        <v>50</v>
      </c>
      <c r="L8">
        <f t="shared" si="9"/>
        <v>152</v>
      </c>
    </row>
    <row r="9" spans="2:12" x14ac:dyDescent="0.15">
      <c r="B9">
        <v>5</v>
      </c>
      <c r="C9">
        <f t="shared" si="0"/>
        <v>0.52359877559829882</v>
      </c>
      <c r="D9">
        <f t="shared" si="1"/>
        <v>0.49999999999999994</v>
      </c>
      <c r="E9">
        <f t="shared" si="2"/>
        <v>0.86602540378443871</v>
      </c>
      <c r="F9">
        <f t="shared" si="3"/>
        <v>68.268639801483431</v>
      </c>
      <c r="G9">
        <f t="shared" si="4"/>
        <v>-94.782032302755084</v>
      </c>
      <c r="H9">
        <f t="shared" si="5"/>
        <v>-47.391016151377542</v>
      </c>
      <c r="I9">
        <f t="shared" si="6"/>
        <v>221</v>
      </c>
      <c r="J9">
        <f t="shared" si="7"/>
        <v>128</v>
      </c>
      <c r="K9">
        <f t="shared" si="8"/>
        <v>68</v>
      </c>
      <c r="L9">
        <f t="shared" si="9"/>
        <v>144</v>
      </c>
    </row>
    <row r="10" spans="2:12" x14ac:dyDescent="0.15">
      <c r="B10">
        <v>6</v>
      </c>
      <c r="C10">
        <f t="shared" si="0"/>
        <v>0.62831853071795862</v>
      </c>
      <c r="D10">
        <f t="shared" si="1"/>
        <v>0.58778525229247314</v>
      </c>
      <c r="E10">
        <f t="shared" si="2"/>
        <v>0.80901699437494745</v>
      </c>
      <c r="F10">
        <f t="shared" si="3"/>
        <v>87.320234370283956</v>
      </c>
      <c r="G10">
        <f t="shared" si="4"/>
        <v>-108.74404778370763</v>
      </c>
      <c r="H10">
        <f t="shared" si="5"/>
        <v>-54.372023891853814</v>
      </c>
      <c r="I10">
        <f t="shared" si="6"/>
        <v>207</v>
      </c>
      <c r="J10">
        <f t="shared" si="7"/>
        <v>150</v>
      </c>
      <c r="K10">
        <f t="shared" si="8"/>
        <v>87</v>
      </c>
      <c r="L10">
        <f t="shared" si="9"/>
        <v>137</v>
      </c>
    </row>
    <row r="11" spans="2:12" x14ac:dyDescent="0.15">
      <c r="B11">
        <v>7</v>
      </c>
      <c r="C11">
        <f t="shared" si="0"/>
        <v>0.73303828583761843</v>
      </c>
      <c r="D11">
        <f t="shared" si="1"/>
        <v>0.66913060635885824</v>
      </c>
      <c r="E11">
        <f t="shared" si="2"/>
        <v>0.74314482547739424</v>
      </c>
      <c r="F11">
        <f t="shared" si="3"/>
        <v>107.72689033297847</v>
      </c>
      <c r="G11">
        <f t="shared" si="4"/>
        <v>-120.63814397991062</v>
      </c>
      <c r="H11">
        <f t="shared" si="5"/>
        <v>-60.319071989955312</v>
      </c>
      <c r="I11">
        <f t="shared" si="6"/>
        <v>190</v>
      </c>
      <c r="J11">
        <f t="shared" si="7"/>
        <v>171</v>
      </c>
      <c r="K11">
        <f t="shared" si="8"/>
        <v>107</v>
      </c>
      <c r="L11">
        <f t="shared" si="9"/>
        <v>131</v>
      </c>
    </row>
    <row r="12" spans="2:12" x14ac:dyDescent="0.15">
      <c r="B12">
        <v>8</v>
      </c>
      <c r="C12">
        <f t="shared" si="0"/>
        <v>0.83775804095727813</v>
      </c>
      <c r="D12">
        <f t="shared" si="1"/>
        <v>0.74314482547739413</v>
      </c>
      <c r="E12">
        <f t="shared" si="2"/>
        <v>0.66913060635885824</v>
      </c>
      <c r="F12">
        <f t="shared" si="3"/>
        <v>129.26502809647243</v>
      </c>
      <c r="G12">
        <f t="shared" si="4"/>
        <v>-130.3340066844388</v>
      </c>
      <c r="H12">
        <f t="shared" si="5"/>
        <v>-65.167003342219402</v>
      </c>
      <c r="I12">
        <f t="shared" si="6"/>
        <v>171</v>
      </c>
      <c r="J12">
        <f t="shared" si="7"/>
        <v>190</v>
      </c>
      <c r="K12">
        <f t="shared" si="8"/>
        <v>129</v>
      </c>
      <c r="L12">
        <f t="shared" si="9"/>
        <v>126</v>
      </c>
    </row>
    <row r="13" spans="2:12" x14ac:dyDescent="0.15">
      <c r="B13">
        <v>9</v>
      </c>
      <c r="C13">
        <f t="shared" si="0"/>
        <v>0.94247779607693793</v>
      </c>
      <c r="D13">
        <f t="shared" si="1"/>
        <v>0.80901699437494745</v>
      </c>
      <c r="E13">
        <f t="shared" si="2"/>
        <v>0.58778525229247314</v>
      </c>
      <c r="F13">
        <f t="shared" si="3"/>
        <v>151.69867131628396</v>
      </c>
      <c r="G13">
        <f t="shared" si="4"/>
        <v>-137.72540599651177</v>
      </c>
      <c r="H13">
        <f t="shared" si="5"/>
        <v>-68.862702998255884</v>
      </c>
      <c r="I13">
        <f t="shared" si="6"/>
        <v>150</v>
      </c>
      <c r="J13">
        <f t="shared" si="7"/>
        <v>207</v>
      </c>
      <c r="K13">
        <f t="shared" si="8"/>
        <v>151</v>
      </c>
      <c r="L13">
        <f t="shared" si="9"/>
        <v>123</v>
      </c>
    </row>
    <row r="14" spans="2:12" x14ac:dyDescent="0.15">
      <c r="B14">
        <v>10</v>
      </c>
      <c r="C14">
        <f t="shared" si="0"/>
        <v>1.0471975511965976</v>
      </c>
      <c r="D14">
        <f t="shared" si="1"/>
        <v>0.8660254037844386</v>
      </c>
      <c r="E14">
        <f t="shared" si="2"/>
        <v>0.50000000000000011</v>
      </c>
      <c r="F14">
        <f t="shared" si="3"/>
        <v>174.78203230275506</v>
      </c>
      <c r="G14">
        <f t="shared" si="4"/>
        <v>-142.73136019851654</v>
      </c>
      <c r="H14">
        <f t="shared" si="5"/>
        <v>-71.36568009925827</v>
      </c>
      <c r="I14">
        <f t="shared" si="6"/>
        <v>128</v>
      </c>
      <c r="J14">
        <f t="shared" si="7"/>
        <v>221</v>
      </c>
      <c r="K14">
        <f t="shared" si="8"/>
        <v>174</v>
      </c>
      <c r="L14">
        <f t="shared" si="9"/>
        <v>120</v>
      </c>
    </row>
    <row r="15" spans="2:12" x14ac:dyDescent="0.15">
      <c r="B15">
        <v>11</v>
      </c>
      <c r="C15">
        <f t="shared" si="0"/>
        <v>1.1519173063162573</v>
      </c>
      <c r="D15">
        <f t="shared" si="1"/>
        <v>0.91354545764260087</v>
      </c>
      <c r="E15">
        <f t="shared" si="2"/>
        <v>0.40673664307580037</v>
      </c>
      <c r="F15">
        <f t="shared" si="3"/>
        <v>198.26220492241418</v>
      </c>
      <c r="G15">
        <f t="shared" si="4"/>
        <v>-145.29702300865281</v>
      </c>
      <c r="H15">
        <f t="shared" si="5"/>
        <v>-72.648511504326407</v>
      </c>
      <c r="I15">
        <f t="shared" si="6"/>
        <v>104</v>
      </c>
      <c r="J15">
        <f t="shared" si="7"/>
        <v>233</v>
      </c>
      <c r="K15">
        <f t="shared" si="8"/>
        <v>198</v>
      </c>
      <c r="L15">
        <f t="shared" si="9"/>
        <v>119</v>
      </c>
    </row>
    <row r="16" spans="2:12" x14ac:dyDescent="0.15">
      <c r="B16">
        <v>12</v>
      </c>
      <c r="C16">
        <f t="shared" si="0"/>
        <v>1.2566370614359172</v>
      </c>
      <c r="D16">
        <f t="shared" si="1"/>
        <v>0.95105651629515353</v>
      </c>
      <c r="E16">
        <f t="shared" si="2"/>
        <v>0.30901699437494745</v>
      </c>
      <c r="F16">
        <f t="shared" si="3"/>
        <v>221.88193549049839</v>
      </c>
      <c r="G16">
        <f t="shared" si="4"/>
        <v>-145.39428448827317</v>
      </c>
      <c r="H16">
        <f t="shared" si="5"/>
        <v>-72.697142244136586</v>
      </c>
      <c r="I16">
        <f t="shared" si="6"/>
        <v>79</v>
      </c>
      <c r="J16">
        <f t="shared" si="7"/>
        <v>243</v>
      </c>
      <c r="K16">
        <f t="shared" si="8"/>
        <v>221</v>
      </c>
      <c r="L16">
        <f t="shared" si="9"/>
        <v>119</v>
      </c>
    </row>
    <row r="17" spans="2:12" x14ac:dyDescent="0.15">
      <c r="B17">
        <v>13</v>
      </c>
      <c r="C17">
        <f t="shared" si="0"/>
        <v>1.3613568165555772</v>
      </c>
      <c r="D17">
        <f t="shared" si="1"/>
        <v>0.97814760073380569</v>
      </c>
      <c r="E17">
        <f t="shared" si="2"/>
        <v>0.20791169081775923</v>
      </c>
      <c r="F17">
        <f t="shared" si="3"/>
        <v>245.38244129615725</v>
      </c>
      <c r="G17">
        <f t="shared" si="4"/>
        <v>-143.02207902025376</v>
      </c>
      <c r="H17">
        <f t="shared" si="5"/>
        <v>-71.511039510126878</v>
      </c>
      <c r="I17">
        <f t="shared" si="6"/>
        <v>53</v>
      </c>
      <c r="J17">
        <f t="shared" si="7"/>
        <v>250</v>
      </c>
      <c r="K17">
        <f t="shared" si="8"/>
        <v>245</v>
      </c>
      <c r="L17">
        <f t="shared" si="9"/>
        <v>120</v>
      </c>
    </row>
    <row r="18" spans="2:12" x14ac:dyDescent="0.15">
      <c r="B18">
        <v>14</v>
      </c>
      <c r="C18">
        <f t="shared" si="0"/>
        <v>1.4660765716752369</v>
      </c>
      <c r="D18">
        <f t="shared" si="1"/>
        <v>0.99452189536827329</v>
      </c>
      <c r="E18">
        <f t="shared" si="2"/>
        <v>0.10452846326765346</v>
      </c>
      <c r="F18">
        <f t="shared" si="3"/>
        <v>268.50624587998698</v>
      </c>
      <c r="G18">
        <f t="shared" si="4"/>
        <v>-138.20639698411793</v>
      </c>
      <c r="H18">
        <f t="shared" si="5"/>
        <v>-69.103198492058965</v>
      </c>
      <c r="I18">
        <f t="shared" si="6"/>
        <v>26</v>
      </c>
      <c r="J18">
        <f t="shared" si="7"/>
        <v>254</v>
      </c>
      <c r="K18">
        <f t="shared" si="8"/>
        <v>268</v>
      </c>
      <c r="L18">
        <f t="shared" si="9"/>
        <v>122</v>
      </c>
    </row>
    <row r="19" spans="2:12" x14ac:dyDescent="0.15">
      <c r="B19">
        <v>15</v>
      </c>
      <c r="C19">
        <f t="shared" si="0"/>
        <v>1.5707963267948966</v>
      </c>
      <c r="D19">
        <f t="shared" si="1"/>
        <v>1</v>
      </c>
      <c r="E19">
        <f t="shared" si="2"/>
        <v>6.1257422745431001E-17</v>
      </c>
      <c r="F19">
        <f t="shared" si="3"/>
        <v>291</v>
      </c>
      <c r="G19">
        <f t="shared" si="4"/>
        <v>-131</v>
      </c>
      <c r="H19">
        <f t="shared" si="5"/>
        <v>-65.5</v>
      </c>
      <c r="I19">
        <f t="shared" si="6"/>
        <v>0</v>
      </c>
      <c r="J19">
        <f t="shared" si="7"/>
        <v>256</v>
      </c>
      <c r="K19">
        <f t="shared" si="8"/>
        <v>291</v>
      </c>
      <c r="L19">
        <f t="shared" si="9"/>
        <v>126</v>
      </c>
    </row>
    <row r="20" spans="2:12" x14ac:dyDescent="0.15">
      <c r="B20">
        <v>16</v>
      </c>
      <c r="C20">
        <f t="shared" si="0"/>
        <v>1.6755160819145563</v>
      </c>
      <c r="D20">
        <f t="shared" si="1"/>
        <v>0.9945218953682734</v>
      </c>
      <c r="E20">
        <f t="shared" si="2"/>
        <v>-0.10452846326765333</v>
      </c>
      <c r="F20">
        <f t="shared" si="3"/>
        <v>312.61725737893676</v>
      </c>
      <c r="G20">
        <f t="shared" si="4"/>
        <v>-121.48184286129342</v>
      </c>
      <c r="H20">
        <f t="shared" si="5"/>
        <v>-60.740921430646708</v>
      </c>
      <c r="I20">
        <f t="shared" si="6"/>
        <v>-27</v>
      </c>
      <c r="J20">
        <f t="shared" si="7"/>
        <v>254</v>
      </c>
      <c r="K20">
        <f t="shared" si="8"/>
        <v>312</v>
      </c>
      <c r="L20">
        <f t="shared" si="9"/>
        <v>131</v>
      </c>
    </row>
    <row r="21" spans="2:12" x14ac:dyDescent="0.15">
      <c r="B21">
        <v>17</v>
      </c>
      <c r="C21">
        <f t="shared" si="0"/>
        <v>1.780235837034216</v>
      </c>
      <c r="D21">
        <f t="shared" si="1"/>
        <v>0.97814760073380569</v>
      </c>
      <c r="E21">
        <f t="shared" si="2"/>
        <v>-0.20791169081775912</v>
      </c>
      <c r="F21">
        <f t="shared" si="3"/>
        <v>333.12117482125166</v>
      </c>
      <c r="G21">
        <f t="shared" si="4"/>
        <v>-109.75620848941229</v>
      </c>
      <c r="H21">
        <f t="shared" si="5"/>
        <v>-54.878104244706144</v>
      </c>
      <c r="I21">
        <f t="shared" si="6"/>
        <v>-54</v>
      </c>
      <c r="J21">
        <f t="shared" si="7"/>
        <v>250</v>
      </c>
      <c r="K21">
        <f t="shared" si="8"/>
        <v>333</v>
      </c>
      <c r="L21">
        <f t="shared" si="9"/>
        <v>137</v>
      </c>
    </row>
    <row r="22" spans="2:12" x14ac:dyDescent="0.15">
      <c r="B22">
        <v>18</v>
      </c>
      <c r="C22">
        <f t="shared" si="0"/>
        <v>1.8849555921538759</v>
      </c>
      <c r="D22">
        <f t="shared" si="1"/>
        <v>0.95105651629515364</v>
      </c>
      <c r="E22">
        <f t="shared" si="2"/>
        <v>-0.30901699437494734</v>
      </c>
      <c r="F22">
        <f t="shared" si="3"/>
        <v>352.28710711672619</v>
      </c>
      <c r="G22">
        <f t="shared" si="4"/>
        <v>-95.951565388281637</v>
      </c>
      <c r="H22">
        <f t="shared" si="5"/>
        <v>-47.975782694140818</v>
      </c>
      <c r="I22">
        <f t="shared" si="6"/>
        <v>-80</v>
      </c>
      <c r="J22">
        <f t="shared" si="7"/>
        <v>243</v>
      </c>
      <c r="K22">
        <f t="shared" si="8"/>
        <v>352</v>
      </c>
      <c r="L22">
        <f t="shared" si="9"/>
        <v>144</v>
      </c>
    </row>
    <row r="23" spans="2:12" x14ac:dyDescent="0.15">
      <c r="B23">
        <v>19</v>
      </c>
      <c r="C23">
        <f t="shared" si="0"/>
        <v>1.9896753472735356</v>
      </c>
      <c r="D23">
        <f t="shared" si="1"/>
        <v>0.91354545764260098</v>
      </c>
      <c r="E23">
        <f t="shared" si="2"/>
        <v>-0.40673664307580004</v>
      </c>
      <c r="F23">
        <f t="shared" si="3"/>
        <v>369.90506830040192</v>
      </c>
      <c r="G23">
        <f t="shared" si="4"/>
        <v>-80.219160116524819</v>
      </c>
      <c r="H23">
        <f t="shared" si="5"/>
        <v>-40.109580058262409</v>
      </c>
      <c r="I23">
        <f t="shared" si="6"/>
        <v>-105</v>
      </c>
      <c r="J23">
        <f t="shared" si="7"/>
        <v>233</v>
      </c>
      <c r="K23">
        <f t="shared" si="8"/>
        <v>369</v>
      </c>
      <c r="L23">
        <f t="shared" si="9"/>
        <v>151</v>
      </c>
    </row>
    <row r="24" spans="2:12" x14ac:dyDescent="0.15">
      <c r="B24">
        <v>20</v>
      </c>
      <c r="C24">
        <f t="shared" si="0"/>
        <v>2.0943951023931953</v>
      </c>
      <c r="D24">
        <f t="shared" si="1"/>
        <v>0.86602540378443871</v>
      </c>
      <c r="E24">
        <f t="shared" si="2"/>
        <v>-0.49999999999999978</v>
      </c>
      <c r="F24">
        <f t="shared" si="3"/>
        <v>385.78203230275506</v>
      </c>
      <c r="G24">
        <f t="shared" si="4"/>
        <v>-62.731360198516583</v>
      </c>
      <c r="H24">
        <f t="shared" si="5"/>
        <v>-31.365680099258292</v>
      </c>
      <c r="I24">
        <f t="shared" si="6"/>
        <v>-128</v>
      </c>
      <c r="J24">
        <f t="shared" si="7"/>
        <v>221</v>
      </c>
      <c r="K24">
        <f t="shared" si="8"/>
        <v>385</v>
      </c>
      <c r="L24">
        <f t="shared" si="9"/>
        <v>160</v>
      </c>
    </row>
    <row r="25" spans="2:12" x14ac:dyDescent="0.15">
      <c r="B25">
        <v>21</v>
      </c>
      <c r="C25">
        <f t="shared" si="0"/>
        <v>2.1991148575128552</v>
      </c>
      <c r="D25">
        <f t="shared" si="1"/>
        <v>0.80901699437494745</v>
      </c>
      <c r="E25">
        <f t="shared" si="2"/>
        <v>-0.58778525229247303</v>
      </c>
      <c r="F25">
        <f t="shared" si="3"/>
        <v>399.74404778370757</v>
      </c>
      <c r="G25">
        <f t="shared" si="4"/>
        <v>-43.679765629716059</v>
      </c>
      <c r="H25">
        <f t="shared" si="5"/>
        <v>-21.839882814858029</v>
      </c>
      <c r="I25">
        <f t="shared" si="6"/>
        <v>-151</v>
      </c>
      <c r="J25">
        <f t="shared" si="7"/>
        <v>207</v>
      </c>
      <c r="K25">
        <f t="shared" si="8"/>
        <v>399</v>
      </c>
      <c r="L25">
        <f t="shared" si="9"/>
        <v>170</v>
      </c>
    </row>
    <row r="26" spans="2:12" x14ac:dyDescent="0.15">
      <c r="B26">
        <v>22</v>
      </c>
      <c r="C26">
        <f t="shared" si="0"/>
        <v>2.3038346126325147</v>
      </c>
      <c r="D26">
        <f t="shared" si="1"/>
        <v>0.74314482547739447</v>
      </c>
      <c r="E26">
        <f t="shared" si="2"/>
        <v>-0.6691306063588579</v>
      </c>
      <c r="F26">
        <f t="shared" si="3"/>
        <v>411.63814397991058</v>
      </c>
      <c r="G26">
        <f t="shared" si="4"/>
        <v>-23.273109667021615</v>
      </c>
      <c r="H26">
        <f t="shared" si="5"/>
        <v>-11.636554833510807</v>
      </c>
      <c r="I26">
        <f t="shared" si="6"/>
        <v>-172</v>
      </c>
      <c r="J26">
        <f t="shared" si="7"/>
        <v>190</v>
      </c>
      <c r="K26">
        <f t="shared" si="8"/>
        <v>411</v>
      </c>
      <c r="L26">
        <f t="shared" si="9"/>
        <v>180</v>
      </c>
    </row>
    <row r="27" spans="2:12" x14ac:dyDescent="0.15">
      <c r="B27">
        <v>23</v>
      </c>
      <c r="C27">
        <f t="shared" si="0"/>
        <v>2.408554367752175</v>
      </c>
      <c r="D27">
        <f t="shared" si="1"/>
        <v>0.66913060635885802</v>
      </c>
      <c r="E27">
        <f t="shared" si="2"/>
        <v>-0.74314482547739436</v>
      </c>
      <c r="F27">
        <f t="shared" si="3"/>
        <v>421.33400668443892</v>
      </c>
      <c r="G27">
        <f t="shared" si="4"/>
        <v>-1.7349719035274802</v>
      </c>
      <c r="H27">
        <f t="shared" si="5"/>
        <v>-0.8674859517637401</v>
      </c>
      <c r="I27">
        <f t="shared" si="6"/>
        <v>-191</v>
      </c>
      <c r="J27">
        <f t="shared" si="7"/>
        <v>171</v>
      </c>
      <c r="K27">
        <f t="shared" si="8"/>
        <v>421</v>
      </c>
      <c r="L27">
        <f t="shared" si="9"/>
        <v>191</v>
      </c>
    </row>
    <row r="28" spans="2:12" x14ac:dyDescent="0.15">
      <c r="B28">
        <v>24</v>
      </c>
      <c r="C28">
        <f t="shared" si="0"/>
        <v>2.5132741228718345</v>
      </c>
      <c r="D28">
        <f t="shared" si="1"/>
        <v>0.58778525229247325</v>
      </c>
      <c r="E28">
        <f t="shared" si="2"/>
        <v>-0.80901699437494734</v>
      </c>
      <c r="F28">
        <f t="shared" si="3"/>
        <v>428.72540599651177</v>
      </c>
      <c r="G28">
        <f t="shared" si="4"/>
        <v>20.698671316283921</v>
      </c>
      <c r="H28">
        <f t="shared" si="5"/>
        <v>10.34933565814196</v>
      </c>
      <c r="I28">
        <f t="shared" si="6"/>
        <v>-208</v>
      </c>
      <c r="J28">
        <f t="shared" si="7"/>
        <v>150</v>
      </c>
      <c r="K28">
        <f t="shared" si="8"/>
        <v>428</v>
      </c>
      <c r="L28">
        <f t="shared" si="9"/>
        <v>202</v>
      </c>
    </row>
    <row r="29" spans="2:12" x14ac:dyDescent="0.15">
      <c r="B29">
        <v>25</v>
      </c>
      <c r="C29">
        <f t="shared" si="0"/>
        <v>2.6179938779914944</v>
      </c>
      <c r="D29">
        <f t="shared" si="1"/>
        <v>0.49999999999999994</v>
      </c>
      <c r="E29">
        <f t="shared" si="2"/>
        <v>-0.86602540378443871</v>
      </c>
      <c r="F29">
        <f t="shared" si="3"/>
        <v>433.73136019851654</v>
      </c>
      <c r="G29">
        <f t="shared" si="4"/>
        <v>43.782032302755113</v>
      </c>
      <c r="H29">
        <f t="shared" si="5"/>
        <v>21.891016151377556</v>
      </c>
      <c r="I29">
        <f t="shared" si="6"/>
        <v>-222</v>
      </c>
      <c r="J29">
        <f t="shared" si="7"/>
        <v>128</v>
      </c>
      <c r="K29">
        <f t="shared" si="8"/>
        <v>433</v>
      </c>
      <c r="L29">
        <f t="shared" si="9"/>
        <v>213</v>
      </c>
    </row>
    <row r="30" spans="2:12" x14ac:dyDescent="0.15">
      <c r="B30">
        <v>26</v>
      </c>
      <c r="C30">
        <f t="shared" si="0"/>
        <v>2.7227136331111543</v>
      </c>
      <c r="D30">
        <f t="shared" si="1"/>
        <v>0.40673664307580004</v>
      </c>
      <c r="E30">
        <f t="shared" si="2"/>
        <v>-0.91354545764260098</v>
      </c>
      <c r="F30">
        <f t="shared" si="3"/>
        <v>436.29702300865279</v>
      </c>
      <c r="G30">
        <f t="shared" si="4"/>
        <v>67.26220492241427</v>
      </c>
      <c r="H30">
        <f t="shared" si="5"/>
        <v>33.631102461207135</v>
      </c>
      <c r="I30">
        <f t="shared" si="6"/>
        <v>-234</v>
      </c>
      <c r="J30">
        <f t="shared" si="7"/>
        <v>104</v>
      </c>
      <c r="K30">
        <f t="shared" si="8"/>
        <v>436</v>
      </c>
      <c r="L30">
        <f t="shared" si="9"/>
        <v>225</v>
      </c>
    </row>
    <row r="31" spans="2:12" x14ac:dyDescent="0.15">
      <c r="B31">
        <v>27</v>
      </c>
      <c r="C31">
        <f t="shared" si="0"/>
        <v>2.8274333882308138</v>
      </c>
      <c r="D31">
        <f t="shared" si="1"/>
        <v>0.30901699437494751</v>
      </c>
      <c r="E31">
        <f t="shared" si="2"/>
        <v>-0.95105651629515353</v>
      </c>
      <c r="F31">
        <f t="shared" si="3"/>
        <v>436.39428448827317</v>
      </c>
      <c r="G31">
        <f t="shared" si="4"/>
        <v>90.88193549049835</v>
      </c>
      <c r="H31">
        <f t="shared" si="5"/>
        <v>45.440967745249175</v>
      </c>
      <c r="I31">
        <f t="shared" si="6"/>
        <v>-244</v>
      </c>
      <c r="J31">
        <f t="shared" si="7"/>
        <v>79</v>
      </c>
      <c r="K31">
        <f t="shared" si="8"/>
        <v>436</v>
      </c>
      <c r="L31">
        <f t="shared" si="9"/>
        <v>237</v>
      </c>
    </row>
    <row r="32" spans="2:12" x14ac:dyDescent="0.15">
      <c r="B32">
        <v>28</v>
      </c>
      <c r="C32">
        <f t="shared" si="0"/>
        <v>2.9321531433504737</v>
      </c>
      <c r="D32">
        <f t="shared" si="1"/>
        <v>0.20791169081775931</v>
      </c>
      <c r="E32">
        <f t="shared" si="2"/>
        <v>-0.97814760073380569</v>
      </c>
      <c r="F32">
        <f t="shared" si="3"/>
        <v>434.02207902025378</v>
      </c>
      <c r="G32">
        <f t="shared" si="4"/>
        <v>114.38244129615724</v>
      </c>
      <c r="H32">
        <f t="shared" si="5"/>
        <v>57.19122064807862</v>
      </c>
      <c r="I32">
        <f t="shared" si="6"/>
        <v>-251</v>
      </c>
      <c r="J32">
        <f t="shared" si="7"/>
        <v>53</v>
      </c>
      <c r="K32">
        <f t="shared" si="8"/>
        <v>434</v>
      </c>
      <c r="L32">
        <f t="shared" si="9"/>
        <v>249</v>
      </c>
    </row>
    <row r="33" spans="2:12" x14ac:dyDescent="0.15">
      <c r="B33">
        <v>29</v>
      </c>
      <c r="C33">
        <f t="shared" si="0"/>
        <v>3.0368728984701332</v>
      </c>
      <c r="D33">
        <f t="shared" si="1"/>
        <v>0.10452846326765373</v>
      </c>
      <c r="E33">
        <f t="shared" si="2"/>
        <v>-0.99452189536827329</v>
      </c>
      <c r="F33">
        <f t="shared" si="3"/>
        <v>429.20639698411793</v>
      </c>
      <c r="G33">
        <f t="shared" si="4"/>
        <v>137.50624587998692</v>
      </c>
      <c r="H33">
        <f t="shared" si="5"/>
        <v>68.75312293999346</v>
      </c>
      <c r="I33">
        <f t="shared" si="6"/>
        <v>-255</v>
      </c>
      <c r="J33">
        <f t="shared" si="7"/>
        <v>26</v>
      </c>
      <c r="K33">
        <f t="shared" si="8"/>
        <v>429</v>
      </c>
      <c r="L33">
        <f t="shared" si="9"/>
        <v>260</v>
      </c>
    </row>
    <row r="34" spans="2:12" x14ac:dyDescent="0.15">
      <c r="B34">
        <v>30</v>
      </c>
      <c r="C34">
        <f t="shared" si="0"/>
        <v>3.1415926535897931</v>
      </c>
      <c r="D34">
        <f t="shared" si="1"/>
        <v>1.22514845490862E-16</v>
      </c>
      <c r="E34">
        <f t="shared" si="2"/>
        <v>-1</v>
      </c>
      <c r="F34">
        <f t="shared" si="3"/>
        <v>422</v>
      </c>
      <c r="G34">
        <f t="shared" si="4"/>
        <v>159.99999999999997</v>
      </c>
      <c r="H34">
        <f t="shared" si="5"/>
        <v>79.999999999999986</v>
      </c>
      <c r="I34">
        <f t="shared" si="6"/>
        <v>-256</v>
      </c>
      <c r="J34">
        <f t="shared" si="7"/>
        <v>0</v>
      </c>
      <c r="K34">
        <f t="shared" si="8"/>
        <v>422</v>
      </c>
      <c r="L34">
        <f t="shared" si="9"/>
        <v>272</v>
      </c>
    </row>
    <row r="35" spans="2:12" x14ac:dyDescent="0.15">
      <c r="B35">
        <v>31</v>
      </c>
      <c r="C35">
        <f t="shared" si="0"/>
        <v>3.246312408709453</v>
      </c>
      <c r="D35">
        <f t="shared" si="1"/>
        <v>-0.1045284632676535</v>
      </c>
      <c r="E35">
        <f t="shared" si="2"/>
        <v>-0.99452189536827329</v>
      </c>
      <c r="F35">
        <f t="shared" si="3"/>
        <v>412.48184286129339</v>
      </c>
      <c r="G35">
        <f t="shared" si="4"/>
        <v>181.61725737893676</v>
      </c>
      <c r="H35">
        <f t="shared" si="5"/>
        <v>90.808628689468378</v>
      </c>
      <c r="I35">
        <f t="shared" si="6"/>
        <v>-255</v>
      </c>
      <c r="J35">
        <f t="shared" si="7"/>
        <v>-27</v>
      </c>
      <c r="K35">
        <f t="shared" si="8"/>
        <v>412</v>
      </c>
      <c r="L35">
        <f t="shared" si="9"/>
        <v>282</v>
      </c>
    </row>
    <row r="36" spans="2:12" x14ac:dyDescent="0.15">
      <c r="B36">
        <v>32</v>
      </c>
      <c r="C36">
        <f t="shared" si="0"/>
        <v>3.3510321638291125</v>
      </c>
      <c r="D36">
        <f t="shared" si="1"/>
        <v>-0.20791169081775907</v>
      </c>
      <c r="E36">
        <f t="shared" si="2"/>
        <v>-0.97814760073380569</v>
      </c>
      <c r="F36">
        <f t="shared" si="3"/>
        <v>400.7562084894123</v>
      </c>
      <c r="G36">
        <f t="shared" si="4"/>
        <v>202.12117482125163</v>
      </c>
      <c r="H36">
        <f t="shared" si="5"/>
        <v>101.06058741062581</v>
      </c>
      <c r="I36">
        <f t="shared" si="6"/>
        <v>-251</v>
      </c>
      <c r="J36">
        <f t="shared" si="7"/>
        <v>-54</v>
      </c>
      <c r="K36">
        <f t="shared" si="8"/>
        <v>400</v>
      </c>
      <c r="L36">
        <f t="shared" si="9"/>
        <v>293</v>
      </c>
    </row>
    <row r="37" spans="2:12" x14ac:dyDescent="0.15">
      <c r="B37">
        <v>33</v>
      </c>
      <c r="C37">
        <f t="shared" si="0"/>
        <v>3.4557519189487729</v>
      </c>
      <c r="D37">
        <f t="shared" si="1"/>
        <v>-0.30901699437494773</v>
      </c>
      <c r="E37">
        <f t="shared" si="2"/>
        <v>-0.95105651629515353</v>
      </c>
      <c r="F37">
        <f t="shared" si="3"/>
        <v>386.95156538828155</v>
      </c>
      <c r="G37">
        <f t="shared" si="4"/>
        <v>221.28710711672625</v>
      </c>
      <c r="H37">
        <f t="shared" si="5"/>
        <v>110.64355355836312</v>
      </c>
      <c r="I37">
        <f t="shared" si="6"/>
        <v>-244</v>
      </c>
      <c r="J37">
        <f t="shared" si="7"/>
        <v>-80</v>
      </c>
      <c r="K37">
        <f t="shared" si="8"/>
        <v>386</v>
      </c>
      <c r="L37">
        <f t="shared" si="9"/>
        <v>302</v>
      </c>
    </row>
    <row r="38" spans="2:12" x14ac:dyDescent="0.15">
      <c r="B38">
        <v>34</v>
      </c>
      <c r="C38">
        <f t="shared" si="0"/>
        <v>3.5604716740684319</v>
      </c>
      <c r="D38">
        <f t="shared" si="1"/>
        <v>-0.40673664307579982</v>
      </c>
      <c r="E38">
        <f t="shared" si="2"/>
        <v>-0.91354545764260109</v>
      </c>
      <c r="F38">
        <f t="shared" si="3"/>
        <v>371.21916011652479</v>
      </c>
      <c r="G38">
        <f t="shared" si="4"/>
        <v>238.90506830040184</v>
      </c>
      <c r="H38">
        <f t="shared" si="5"/>
        <v>119.45253415020092</v>
      </c>
      <c r="I38">
        <f t="shared" si="6"/>
        <v>-234</v>
      </c>
      <c r="J38">
        <f t="shared" si="7"/>
        <v>-105</v>
      </c>
      <c r="K38">
        <f t="shared" si="8"/>
        <v>371</v>
      </c>
      <c r="L38">
        <f t="shared" si="9"/>
        <v>311</v>
      </c>
    </row>
    <row r="39" spans="2:12" x14ac:dyDescent="0.15">
      <c r="B39">
        <v>35</v>
      </c>
      <c r="C39">
        <f t="shared" si="0"/>
        <v>3.6651914291880923</v>
      </c>
      <c r="D39">
        <f t="shared" si="1"/>
        <v>-0.50000000000000011</v>
      </c>
      <c r="E39">
        <f t="shared" si="2"/>
        <v>-0.8660254037844386</v>
      </c>
      <c r="F39">
        <f t="shared" si="3"/>
        <v>353.73136019851654</v>
      </c>
      <c r="G39">
        <f t="shared" si="4"/>
        <v>254.78203230275511</v>
      </c>
      <c r="H39">
        <f t="shared" si="5"/>
        <v>127.39101615137756</v>
      </c>
      <c r="I39">
        <f t="shared" si="6"/>
        <v>-222</v>
      </c>
      <c r="J39">
        <f t="shared" si="7"/>
        <v>-128</v>
      </c>
      <c r="K39">
        <f t="shared" si="8"/>
        <v>353</v>
      </c>
      <c r="L39">
        <f t="shared" si="9"/>
        <v>319</v>
      </c>
    </row>
    <row r="40" spans="2:12" x14ac:dyDescent="0.15">
      <c r="B40">
        <v>36</v>
      </c>
      <c r="C40">
        <f t="shared" si="0"/>
        <v>3.7699111843077517</v>
      </c>
      <c r="D40">
        <f t="shared" si="1"/>
        <v>-0.58778525229247303</v>
      </c>
      <c r="E40">
        <f t="shared" si="2"/>
        <v>-0.80901699437494756</v>
      </c>
      <c r="F40">
        <f t="shared" si="3"/>
        <v>334.67976562971614</v>
      </c>
      <c r="G40">
        <f t="shared" si="4"/>
        <v>268.74404778370763</v>
      </c>
      <c r="H40">
        <f t="shared" si="5"/>
        <v>134.37202389185381</v>
      </c>
      <c r="I40">
        <f t="shared" si="6"/>
        <v>-208</v>
      </c>
      <c r="J40">
        <f t="shared" si="7"/>
        <v>-151</v>
      </c>
      <c r="K40">
        <f t="shared" si="8"/>
        <v>334</v>
      </c>
      <c r="L40">
        <f t="shared" si="9"/>
        <v>326</v>
      </c>
    </row>
    <row r="41" spans="2:12" x14ac:dyDescent="0.15">
      <c r="B41">
        <v>37</v>
      </c>
      <c r="C41">
        <f t="shared" si="0"/>
        <v>3.8746309394274117</v>
      </c>
      <c r="D41">
        <f t="shared" si="1"/>
        <v>-0.66913060635885824</v>
      </c>
      <c r="E41">
        <f t="shared" si="2"/>
        <v>-0.74314482547739424</v>
      </c>
      <c r="F41">
        <f t="shared" si="3"/>
        <v>314.27310966702152</v>
      </c>
      <c r="G41">
        <f t="shared" si="4"/>
        <v>280.63814397991064</v>
      </c>
      <c r="H41">
        <f t="shared" si="5"/>
        <v>140.31907198995532</v>
      </c>
      <c r="I41">
        <f t="shared" si="6"/>
        <v>-191</v>
      </c>
      <c r="J41">
        <f t="shared" si="7"/>
        <v>-172</v>
      </c>
      <c r="K41">
        <f t="shared" si="8"/>
        <v>314</v>
      </c>
      <c r="L41">
        <f t="shared" si="9"/>
        <v>332</v>
      </c>
    </row>
    <row r="42" spans="2:12" x14ac:dyDescent="0.15">
      <c r="B42">
        <v>38</v>
      </c>
      <c r="C42">
        <f t="shared" si="0"/>
        <v>3.9793506945470711</v>
      </c>
      <c r="D42">
        <f t="shared" si="1"/>
        <v>-0.74314482547739402</v>
      </c>
      <c r="E42">
        <f t="shared" si="2"/>
        <v>-0.66913060635885846</v>
      </c>
      <c r="F42">
        <f t="shared" si="3"/>
        <v>292.73497190352759</v>
      </c>
      <c r="G42">
        <f t="shared" si="4"/>
        <v>290.3340066844388</v>
      </c>
      <c r="H42">
        <f t="shared" si="5"/>
        <v>145.1670033422194</v>
      </c>
      <c r="I42">
        <f t="shared" si="6"/>
        <v>-172</v>
      </c>
      <c r="J42">
        <f t="shared" si="7"/>
        <v>-191</v>
      </c>
      <c r="K42">
        <f t="shared" si="8"/>
        <v>292</v>
      </c>
      <c r="L42">
        <f t="shared" si="9"/>
        <v>337</v>
      </c>
    </row>
    <row r="43" spans="2:12" x14ac:dyDescent="0.15">
      <c r="B43">
        <v>39</v>
      </c>
      <c r="C43">
        <f t="shared" si="0"/>
        <v>4.0840704496667311</v>
      </c>
      <c r="D43">
        <f t="shared" si="1"/>
        <v>-0.80901699437494734</v>
      </c>
      <c r="E43">
        <f t="shared" si="2"/>
        <v>-0.58778525229247325</v>
      </c>
      <c r="F43">
        <f t="shared" si="3"/>
        <v>270.30132868371606</v>
      </c>
      <c r="G43">
        <f t="shared" si="4"/>
        <v>297.72540599651177</v>
      </c>
      <c r="H43">
        <f t="shared" si="5"/>
        <v>148.86270299825588</v>
      </c>
      <c r="I43">
        <f t="shared" si="6"/>
        <v>-151</v>
      </c>
      <c r="J43">
        <f t="shared" si="7"/>
        <v>-208</v>
      </c>
      <c r="K43">
        <f t="shared" si="8"/>
        <v>270</v>
      </c>
      <c r="L43">
        <f t="shared" si="9"/>
        <v>340</v>
      </c>
    </row>
    <row r="44" spans="2:12" x14ac:dyDescent="0.15">
      <c r="B44">
        <v>40</v>
      </c>
      <c r="C44">
        <f t="shared" si="0"/>
        <v>4.1887902047863905</v>
      </c>
      <c r="D44">
        <f t="shared" si="1"/>
        <v>-0.86602540378443837</v>
      </c>
      <c r="E44">
        <f t="shared" si="2"/>
        <v>-0.50000000000000044</v>
      </c>
      <c r="F44">
        <f t="shared" si="3"/>
        <v>247.21796769724506</v>
      </c>
      <c r="G44">
        <f t="shared" si="4"/>
        <v>302.73136019851654</v>
      </c>
      <c r="H44">
        <f t="shared" si="5"/>
        <v>151.36568009925827</v>
      </c>
      <c r="I44">
        <f t="shared" si="6"/>
        <v>-128</v>
      </c>
      <c r="J44">
        <f t="shared" si="7"/>
        <v>-222</v>
      </c>
      <c r="K44">
        <f t="shared" si="8"/>
        <v>247</v>
      </c>
      <c r="L44">
        <f t="shared" si="9"/>
        <v>343</v>
      </c>
    </row>
    <row r="45" spans="2:12" x14ac:dyDescent="0.15">
      <c r="B45">
        <v>41</v>
      </c>
      <c r="C45">
        <f t="shared" si="0"/>
        <v>4.2935099599060509</v>
      </c>
      <c r="D45">
        <f t="shared" si="1"/>
        <v>-0.91354545764260098</v>
      </c>
      <c r="E45">
        <f t="shared" si="2"/>
        <v>-0.4067366430758001</v>
      </c>
      <c r="F45">
        <f t="shared" si="3"/>
        <v>223.73779507758573</v>
      </c>
      <c r="G45">
        <f t="shared" si="4"/>
        <v>305.29702300865279</v>
      </c>
      <c r="H45">
        <f t="shared" si="5"/>
        <v>152.64851150432639</v>
      </c>
      <c r="I45">
        <f t="shared" si="6"/>
        <v>-105</v>
      </c>
      <c r="J45">
        <f t="shared" si="7"/>
        <v>-234</v>
      </c>
      <c r="K45">
        <f t="shared" si="8"/>
        <v>223</v>
      </c>
      <c r="L45">
        <f t="shared" si="9"/>
        <v>344</v>
      </c>
    </row>
    <row r="46" spans="2:12" x14ac:dyDescent="0.15">
      <c r="B46">
        <v>42</v>
      </c>
      <c r="C46">
        <f t="shared" si="0"/>
        <v>4.3982297150257104</v>
      </c>
      <c r="D46">
        <f t="shared" si="1"/>
        <v>-0.95105651629515353</v>
      </c>
      <c r="E46">
        <f t="shared" si="2"/>
        <v>-0.30901699437494756</v>
      </c>
      <c r="F46">
        <f t="shared" si="3"/>
        <v>200.11806450950166</v>
      </c>
      <c r="G46">
        <f t="shared" si="4"/>
        <v>305.39428448827317</v>
      </c>
      <c r="H46">
        <f t="shared" si="5"/>
        <v>152.69714224413659</v>
      </c>
      <c r="I46">
        <f t="shared" si="6"/>
        <v>-80</v>
      </c>
      <c r="J46">
        <f t="shared" si="7"/>
        <v>-244</v>
      </c>
      <c r="K46">
        <f t="shared" si="8"/>
        <v>200</v>
      </c>
      <c r="L46">
        <f t="shared" si="9"/>
        <v>344</v>
      </c>
    </row>
    <row r="47" spans="2:12" x14ac:dyDescent="0.15">
      <c r="B47">
        <v>43</v>
      </c>
      <c r="C47">
        <f t="shared" si="0"/>
        <v>4.5029494701453698</v>
      </c>
      <c r="D47">
        <f t="shared" si="1"/>
        <v>-0.97814760073380558</v>
      </c>
      <c r="E47">
        <f t="shared" si="2"/>
        <v>-0.20791169081775979</v>
      </c>
      <c r="F47">
        <f t="shared" si="3"/>
        <v>176.61755870384286</v>
      </c>
      <c r="G47">
        <f t="shared" si="4"/>
        <v>303.02207902025373</v>
      </c>
      <c r="H47">
        <f t="shared" si="5"/>
        <v>151.51103951012686</v>
      </c>
      <c r="I47">
        <f t="shared" si="6"/>
        <v>-54</v>
      </c>
      <c r="J47">
        <f t="shared" si="7"/>
        <v>-251</v>
      </c>
      <c r="K47">
        <f t="shared" si="8"/>
        <v>176</v>
      </c>
      <c r="L47">
        <f t="shared" si="9"/>
        <v>343</v>
      </c>
    </row>
    <row r="48" spans="2:12" x14ac:dyDescent="0.15">
      <c r="B48">
        <v>44</v>
      </c>
      <c r="C48">
        <f t="shared" si="0"/>
        <v>4.6076692252650293</v>
      </c>
      <c r="D48">
        <f t="shared" si="1"/>
        <v>-0.99452189536827329</v>
      </c>
      <c r="E48">
        <f t="shared" si="2"/>
        <v>-0.10452846326765423</v>
      </c>
      <c r="F48">
        <f t="shared" si="3"/>
        <v>153.49375412001316</v>
      </c>
      <c r="G48">
        <f t="shared" si="4"/>
        <v>298.20639698411799</v>
      </c>
      <c r="H48">
        <f t="shared" si="5"/>
        <v>149.10319849205899</v>
      </c>
      <c r="I48">
        <f t="shared" si="6"/>
        <v>-27</v>
      </c>
      <c r="J48">
        <f t="shared" si="7"/>
        <v>-255</v>
      </c>
      <c r="K48">
        <f t="shared" si="8"/>
        <v>153</v>
      </c>
      <c r="L48">
        <f t="shared" si="9"/>
        <v>341</v>
      </c>
    </row>
    <row r="49" spans="2:12" x14ac:dyDescent="0.15">
      <c r="B49">
        <v>45</v>
      </c>
      <c r="C49">
        <f t="shared" si="0"/>
        <v>4.7123889803846897</v>
      </c>
      <c r="D49">
        <f t="shared" si="1"/>
        <v>-1</v>
      </c>
      <c r="E49">
        <f t="shared" si="2"/>
        <v>-1.83772268236293E-16</v>
      </c>
      <c r="F49">
        <f t="shared" si="3"/>
        <v>131.00000000000003</v>
      </c>
      <c r="G49">
        <f t="shared" si="4"/>
        <v>291</v>
      </c>
      <c r="H49">
        <f t="shared" si="5"/>
        <v>145.5</v>
      </c>
      <c r="I49">
        <f t="shared" si="6"/>
        <v>-1</v>
      </c>
      <c r="J49">
        <f t="shared" si="7"/>
        <v>-256</v>
      </c>
      <c r="K49">
        <f t="shared" si="8"/>
        <v>131</v>
      </c>
      <c r="L49">
        <f t="shared" si="9"/>
        <v>337</v>
      </c>
    </row>
    <row r="50" spans="2:12" x14ac:dyDescent="0.15">
      <c r="B50">
        <v>46</v>
      </c>
      <c r="C50">
        <f t="shared" si="0"/>
        <v>4.81710873550435</v>
      </c>
      <c r="D50">
        <f t="shared" si="1"/>
        <v>-0.99452189536827329</v>
      </c>
      <c r="E50">
        <f t="shared" si="2"/>
        <v>0.10452846326765387</v>
      </c>
      <c r="F50">
        <f t="shared" si="3"/>
        <v>109.38274262106316</v>
      </c>
      <c r="G50">
        <f t="shared" si="4"/>
        <v>281.48184286129333</v>
      </c>
      <c r="H50">
        <f t="shared" si="5"/>
        <v>140.74092143064667</v>
      </c>
      <c r="I50">
        <f t="shared" si="6"/>
        <v>26</v>
      </c>
      <c r="J50">
        <f t="shared" si="7"/>
        <v>-255</v>
      </c>
      <c r="K50">
        <f t="shared" si="8"/>
        <v>109</v>
      </c>
      <c r="L50">
        <f t="shared" si="9"/>
        <v>332</v>
      </c>
    </row>
    <row r="51" spans="2:12" x14ac:dyDescent="0.15">
      <c r="B51">
        <v>47</v>
      </c>
      <c r="C51">
        <f t="shared" si="0"/>
        <v>4.9218284906240095</v>
      </c>
      <c r="D51">
        <f t="shared" si="1"/>
        <v>-0.97814760073380558</v>
      </c>
      <c r="E51">
        <f t="shared" si="2"/>
        <v>0.20791169081775943</v>
      </c>
      <c r="F51">
        <f t="shared" si="3"/>
        <v>88.878825178748329</v>
      </c>
      <c r="G51">
        <f t="shared" si="4"/>
        <v>269.75620848941219</v>
      </c>
      <c r="H51">
        <f t="shared" si="5"/>
        <v>134.87810424470609</v>
      </c>
      <c r="I51">
        <f t="shared" si="6"/>
        <v>53</v>
      </c>
      <c r="J51">
        <f t="shared" si="7"/>
        <v>-251</v>
      </c>
      <c r="K51">
        <f t="shared" si="8"/>
        <v>88</v>
      </c>
      <c r="L51">
        <f t="shared" si="9"/>
        <v>326</v>
      </c>
    </row>
    <row r="52" spans="2:12" x14ac:dyDescent="0.15">
      <c r="B52">
        <v>48</v>
      </c>
      <c r="C52">
        <f t="shared" si="0"/>
        <v>5.026548245743669</v>
      </c>
      <c r="D52">
        <f t="shared" si="1"/>
        <v>-0.95105651629515364</v>
      </c>
      <c r="E52">
        <f t="shared" si="2"/>
        <v>0.30901699437494723</v>
      </c>
      <c r="F52">
        <f t="shared" si="3"/>
        <v>69.712892883273838</v>
      </c>
      <c r="G52">
        <f t="shared" si="4"/>
        <v>255.95156538828167</v>
      </c>
      <c r="H52">
        <f t="shared" si="5"/>
        <v>127.97578269414083</v>
      </c>
      <c r="I52">
        <f t="shared" si="6"/>
        <v>79</v>
      </c>
      <c r="J52">
        <f t="shared" si="7"/>
        <v>-244</v>
      </c>
      <c r="K52">
        <f t="shared" si="8"/>
        <v>69</v>
      </c>
      <c r="L52">
        <f t="shared" si="9"/>
        <v>319</v>
      </c>
    </row>
    <row r="53" spans="2:12" x14ac:dyDescent="0.15">
      <c r="B53">
        <v>49</v>
      </c>
      <c r="C53">
        <f t="shared" si="0"/>
        <v>5.1312680008633285</v>
      </c>
      <c r="D53">
        <f t="shared" si="1"/>
        <v>-0.91354545764260109</v>
      </c>
      <c r="E53">
        <f t="shared" si="2"/>
        <v>0.40673664307579976</v>
      </c>
      <c r="F53">
        <f t="shared" si="3"/>
        <v>52.094931699598163</v>
      </c>
      <c r="G53">
        <f t="shared" si="4"/>
        <v>240.21916011652479</v>
      </c>
      <c r="H53">
        <f t="shared" si="5"/>
        <v>120.1095800582624</v>
      </c>
      <c r="I53">
        <f t="shared" si="6"/>
        <v>104</v>
      </c>
      <c r="J53">
        <f t="shared" si="7"/>
        <v>-234</v>
      </c>
      <c r="K53">
        <f t="shared" si="8"/>
        <v>52</v>
      </c>
      <c r="L53">
        <f t="shared" si="9"/>
        <v>312</v>
      </c>
    </row>
    <row r="54" spans="2:12" x14ac:dyDescent="0.15">
      <c r="B54">
        <v>50</v>
      </c>
      <c r="C54">
        <f t="shared" si="0"/>
        <v>5.2359877559829888</v>
      </c>
      <c r="D54">
        <f t="shared" si="1"/>
        <v>-0.8660254037844386</v>
      </c>
      <c r="E54">
        <f t="shared" si="2"/>
        <v>0.50000000000000011</v>
      </c>
      <c r="F54">
        <f t="shared" si="3"/>
        <v>36.217967697244887</v>
      </c>
      <c r="G54">
        <f t="shared" si="4"/>
        <v>222.73136019851654</v>
      </c>
      <c r="H54">
        <f t="shared" si="5"/>
        <v>111.36568009925827</v>
      </c>
      <c r="I54">
        <f t="shared" si="6"/>
        <v>128</v>
      </c>
      <c r="J54">
        <f t="shared" si="7"/>
        <v>-222</v>
      </c>
      <c r="K54">
        <f t="shared" si="8"/>
        <v>36</v>
      </c>
      <c r="L54">
        <f t="shared" si="9"/>
        <v>303</v>
      </c>
    </row>
    <row r="55" spans="2:12" x14ac:dyDescent="0.15">
      <c r="B55">
        <v>51</v>
      </c>
      <c r="C55">
        <f t="shared" si="0"/>
        <v>5.3407075111026483</v>
      </c>
      <c r="D55">
        <f t="shared" si="1"/>
        <v>-0.80901699437494756</v>
      </c>
      <c r="E55">
        <f t="shared" si="2"/>
        <v>0.58778525229247292</v>
      </c>
      <c r="F55">
        <f t="shared" si="3"/>
        <v>22.2559522162924</v>
      </c>
      <c r="G55">
        <f t="shared" si="4"/>
        <v>203.67976562971609</v>
      </c>
      <c r="H55">
        <f t="shared" si="5"/>
        <v>101.83988281485804</v>
      </c>
      <c r="I55">
        <f t="shared" si="6"/>
        <v>150</v>
      </c>
      <c r="J55">
        <f t="shared" si="7"/>
        <v>-208</v>
      </c>
      <c r="K55">
        <f t="shared" si="8"/>
        <v>22</v>
      </c>
      <c r="L55">
        <f t="shared" si="9"/>
        <v>293</v>
      </c>
    </row>
    <row r="56" spans="2:12" x14ac:dyDescent="0.15">
      <c r="B56">
        <v>52</v>
      </c>
      <c r="C56">
        <f t="shared" si="0"/>
        <v>5.4454272662223087</v>
      </c>
      <c r="D56">
        <f t="shared" si="1"/>
        <v>-0.74314482547739402</v>
      </c>
      <c r="E56">
        <f t="shared" si="2"/>
        <v>0.66913060635885846</v>
      </c>
      <c r="F56">
        <f t="shared" si="3"/>
        <v>10.361856020089334</v>
      </c>
      <c r="G56">
        <f t="shared" si="4"/>
        <v>183.27310966702146</v>
      </c>
      <c r="H56">
        <f t="shared" si="5"/>
        <v>91.636554833510729</v>
      </c>
      <c r="I56">
        <f t="shared" si="6"/>
        <v>171</v>
      </c>
      <c r="J56">
        <f t="shared" si="7"/>
        <v>-191</v>
      </c>
      <c r="K56">
        <f t="shared" si="8"/>
        <v>10</v>
      </c>
      <c r="L56">
        <f t="shared" si="9"/>
        <v>283</v>
      </c>
    </row>
    <row r="57" spans="2:12" x14ac:dyDescent="0.15">
      <c r="B57">
        <v>53</v>
      </c>
      <c r="C57">
        <f t="shared" si="0"/>
        <v>5.5501470213419672</v>
      </c>
      <c r="D57">
        <f t="shared" si="1"/>
        <v>-0.66913060635885879</v>
      </c>
      <c r="E57">
        <f t="shared" si="2"/>
        <v>0.74314482547739369</v>
      </c>
      <c r="F57">
        <f t="shared" si="3"/>
        <v>0.66599331556122365</v>
      </c>
      <c r="G57">
        <f t="shared" si="4"/>
        <v>161.73497190352771</v>
      </c>
      <c r="H57">
        <f t="shared" si="5"/>
        <v>80.867485951763854</v>
      </c>
      <c r="I57">
        <f t="shared" si="6"/>
        <v>190</v>
      </c>
      <c r="J57">
        <f t="shared" si="7"/>
        <v>-172</v>
      </c>
      <c r="K57">
        <f t="shared" si="8"/>
        <v>0</v>
      </c>
      <c r="L57">
        <f t="shared" si="9"/>
        <v>272</v>
      </c>
    </row>
    <row r="58" spans="2:12" x14ac:dyDescent="0.15">
      <c r="B58">
        <v>54</v>
      </c>
      <c r="C58">
        <f t="shared" si="0"/>
        <v>5.6548667764616276</v>
      </c>
      <c r="D58">
        <f t="shared" si="1"/>
        <v>-0.58778525229247336</v>
      </c>
      <c r="E58">
        <f t="shared" si="2"/>
        <v>0.80901699437494734</v>
      </c>
      <c r="F58">
        <f t="shared" si="3"/>
        <v>-6.7254059965117676</v>
      </c>
      <c r="G58">
        <f t="shared" si="4"/>
        <v>139.30132868371609</v>
      </c>
      <c r="H58">
        <f t="shared" si="5"/>
        <v>69.650664341858047</v>
      </c>
      <c r="I58">
        <f t="shared" si="6"/>
        <v>207</v>
      </c>
      <c r="J58">
        <f t="shared" si="7"/>
        <v>-151</v>
      </c>
      <c r="K58">
        <f t="shared" si="8"/>
        <v>-7</v>
      </c>
      <c r="L58">
        <f t="shared" si="9"/>
        <v>261</v>
      </c>
    </row>
    <row r="59" spans="2:12" x14ac:dyDescent="0.15">
      <c r="B59">
        <v>55</v>
      </c>
      <c r="C59">
        <f t="shared" si="0"/>
        <v>5.7595865315812871</v>
      </c>
      <c r="D59">
        <f t="shared" si="1"/>
        <v>-0.50000000000000044</v>
      </c>
      <c r="E59">
        <f t="shared" si="2"/>
        <v>0.86602540378443837</v>
      </c>
      <c r="F59">
        <f t="shared" si="3"/>
        <v>-11.731360198516519</v>
      </c>
      <c r="G59">
        <f t="shared" si="4"/>
        <v>116.21796769724504</v>
      </c>
      <c r="H59">
        <f t="shared" si="5"/>
        <v>58.108983848622522</v>
      </c>
      <c r="I59">
        <f t="shared" si="6"/>
        <v>221</v>
      </c>
      <c r="J59">
        <f t="shared" si="7"/>
        <v>-128</v>
      </c>
      <c r="K59">
        <f t="shared" si="8"/>
        <v>-12</v>
      </c>
      <c r="L59">
        <f t="shared" si="9"/>
        <v>250</v>
      </c>
    </row>
    <row r="60" spans="2:12" x14ac:dyDescent="0.15">
      <c r="B60">
        <v>56</v>
      </c>
      <c r="C60">
        <f t="shared" si="0"/>
        <v>5.8643062867009474</v>
      </c>
      <c r="D60">
        <f t="shared" si="1"/>
        <v>-0.40673664307580015</v>
      </c>
      <c r="E60">
        <f t="shared" si="2"/>
        <v>0.91354545764260098</v>
      </c>
      <c r="F60">
        <f t="shared" si="3"/>
        <v>-14.297023008652829</v>
      </c>
      <c r="G60">
        <f t="shared" si="4"/>
        <v>92.73779507758573</v>
      </c>
      <c r="H60">
        <f t="shared" si="5"/>
        <v>46.368897538792865</v>
      </c>
      <c r="I60">
        <f t="shared" si="6"/>
        <v>233</v>
      </c>
      <c r="J60">
        <f t="shared" si="7"/>
        <v>-105</v>
      </c>
      <c r="K60">
        <f t="shared" si="8"/>
        <v>-15</v>
      </c>
      <c r="L60">
        <f t="shared" si="9"/>
        <v>238</v>
      </c>
    </row>
    <row r="61" spans="2:12" x14ac:dyDescent="0.15">
      <c r="B61">
        <v>57</v>
      </c>
      <c r="C61">
        <f t="shared" si="0"/>
        <v>5.9690260418206069</v>
      </c>
      <c r="D61">
        <f t="shared" si="1"/>
        <v>-0.30901699437494762</v>
      </c>
      <c r="E61">
        <f t="shared" si="2"/>
        <v>0.95105651629515353</v>
      </c>
      <c r="F61">
        <f t="shared" si="3"/>
        <v>-14.3942844882732</v>
      </c>
      <c r="G61">
        <f t="shared" si="4"/>
        <v>69.118064509501679</v>
      </c>
      <c r="H61">
        <f t="shared" si="5"/>
        <v>34.559032254750839</v>
      </c>
      <c r="I61">
        <f t="shared" si="6"/>
        <v>243</v>
      </c>
      <c r="J61">
        <f t="shared" si="7"/>
        <v>-80</v>
      </c>
      <c r="K61">
        <f t="shared" si="8"/>
        <v>-15</v>
      </c>
      <c r="L61">
        <f t="shared" si="9"/>
        <v>226</v>
      </c>
    </row>
    <row r="62" spans="2:12" x14ac:dyDescent="0.15">
      <c r="B62">
        <v>58</v>
      </c>
      <c r="C62">
        <f t="shared" si="0"/>
        <v>6.0737457969402664</v>
      </c>
      <c r="D62">
        <f t="shared" si="1"/>
        <v>-0.20791169081775987</v>
      </c>
      <c r="E62">
        <f t="shared" si="2"/>
        <v>0.97814760073380558</v>
      </c>
      <c r="F62">
        <f t="shared" si="3"/>
        <v>-12.022079020253777</v>
      </c>
      <c r="G62">
        <f t="shared" si="4"/>
        <v>45.617558703842889</v>
      </c>
      <c r="H62">
        <f t="shared" si="5"/>
        <v>22.808779351921444</v>
      </c>
      <c r="I62">
        <f t="shared" si="6"/>
        <v>250</v>
      </c>
      <c r="J62">
        <f t="shared" si="7"/>
        <v>-54</v>
      </c>
      <c r="K62">
        <f t="shared" si="8"/>
        <v>-13</v>
      </c>
      <c r="L62">
        <f t="shared" si="9"/>
        <v>214</v>
      </c>
    </row>
    <row r="63" spans="2:12" x14ac:dyDescent="0.15">
      <c r="B63">
        <v>59</v>
      </c>
      <c r="C63">
        <f t="shared" si="0"/>
        <v>6.1784655520599259</v>
      </c>
      <c r="D63">
        <f t="shared" si="1"/>
        <v>-0.1045284632676543</v>
      </c>
      <c r="E63">
        <f t="shared" si="2"/>
        <v>0.99452189536827329</v>
      </c>
      <c r="F63">
        <f t="shared" si="3"/>
        <v>-7.2063969841180029</v>
      </c>
      <c r="G63">
        <f t="shared" si="4"/>
        <v>22.493754120013193</v>
      </c>
      <c r="H63">
        <f t="shared" si="5"/>
        <v>11.246877060006597</v>
      </c>
      <c r="I63">
        <f t="shared" si="6"/>
        <v>254</v>
      </c>
      <c r="J63">
        <f t="shared" si="7"/>
        <v>-27</v>
      </c>
      <c r="K63">
        <f t="shared" si="8"/>
        <v>-8</v>
      </c>
      <c r="L63">
        <f t="shared" si="9"/>
        <v>203</v>
      </c>
    </row>
    <row r="64" spans="2:12" x14ac:dyDescent="0.15">
      <c r="B64">
        <v>60</v>
      </c>
      <c r="C64">
        <f t="shared" si="0"/>
        <v>6.2831853071795862</v>
      </c>
      <c r="D64">
        <f t="shared" si="1"/>
        <v>-2.45029690981724E-16</v>
      </c>
      <c r="E64">
        <f t="shared" si="2"/>
        <v>1</v>
      </c>
      <c r="F64">
        <f t="shared" si="3"/>
        <v>-1.960237527853792E-14</v>
      </c>
      <c r="G64">
        <f t="shared" si="4"/>
        <v>0</v>
      </c>
      <c r="H64">
        <f t="shared" si="5"/>
        <v>0</v>
      </c>
      <c r="I64">
        <f t="shared" si="6"/>
        <v>256</v>
      </c>
      <c r="J64">
        <f t="shared" si="7"/>
        <v>-1</v>
      </c>
      <c r="K64">
        <f t="shared" si="8"/>
        <v>-1</v>
      </c>
      <c r="L64">
        <f t="shared" si="9"/>
        <v>192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LOGO3回転</vt:lpstr>
      <vt:lpstr>LOGO3回転角制限</vt:lpstr>
      <vt:lpstr>LOGO3表示領域拡大</vt:lpstr>
      <vt:lpstr>LOGO3ズーム</vt:lpstr>
      <vt:lpstr>LOGO3バウンド</vt:lpstr>
      <vt:lpstr>LOGO3左右振り</vt:lpstr>
      <vt:lpstr>【参考】ROTATE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2025-10-14T21:41:01Z</dcterms:created>
  <dcterms:modified xsi:type="dcterms:W3CDTF">2025-12-06T14:34:26Z</dcterms:modified>
</cp:coreProperties>
</file>