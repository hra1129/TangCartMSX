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HRA_product\TangCartMSX\RTL\tangnano20k_vdp_cartridge_rev2_step1\src\th9958\start_logo3\"/>
    </mc:Choice>
  </mc:AlternateContent>
  <bookViews>
    <workbookView xWindow="0" yWindow="0" windowWidth="28800" windowHeight="13635"/>
  </bookViews>
  <sheets>
    <sheet name="LOGO3" sheetId="3" r:id="rId1"/>
    <sheet name="ROTATE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4" i="3" l="1"/>
  <c r="W5" i="3"/>
  <c r="X5" i="3"/>
  <c r="W6" i="3"/>
  <c r="X6" i="3"/>
  <c r="W7" i="3"/>
  <c r="X7" i="3"/>
  <c r="W8" i="3"/>
  <c r="X8" i="3"/>
  <c r="W9" i="3"/>
  <c r="X9" i="3"/>
  <c r="W10" i="3"/>
  <c r="X10" i="3"/>
  <c r="W11" i="3"/>
  <c r="X11" i="3"/>
  <c r="W12" i="3"/>
  <c r="X12" i="3"/>
  <c r="W13" i="3"/>
  <c r="X13" i="3"/>
  <c r="W14" i="3"/>
  <c r="X14" i="3"/>
  <c r="W15" i="3"/>
  <c r="X15" i="3"/>
  <c r="W16" i="3"/>
  <c r="X16" i="3"/>
  <c r="W17" i="3"/>
  <c r="X17" i="3"/>
  <c r="W18" i="3"/>
  <c r="X18" i="3"/>
  <c r="W19" i="3"/>
  <c r="X19" i="3"/>
  <c r="W20" i="3"/>
  <c r="X20" i="3"/>
  <c r="W21" i="3"/>
  <c r="X21" i="3"/>
  <c r="W22" i="3"/>
  <c r="X22" i="3"/>
  <c r="W23" i="3"/>
  <c r="X23" i="3"/>
  <c r="W24" i="3"/>
  <c r="X24" i="3"/>
  <c r="W25" i="3"/>
  <c r="X25" i="3"/>
  <c r="W26" i="3"/>
  <c r="X26" i="3"/>
  <c r="W27" i="3"/>
  <c r="X27" i="3"/>
  <c r="W28" i="3"/>
  <c r="X28" i="3"/>
  <c r="W29" i="3"/>
  <c r="X29" i="3"/>
  <c r="W30" i="3"/>
  <c r="X30" i="3"/>
  <c r="W31" i="3"/>
  <c r="X31" i="3"/>
  <c r="W32" i="3"/>
  <c r="X32" i="3"/>
  <c r="W33" i="3"/>
  <c r="X33" i="3"/>
  <c r="W34" i="3"/>
  <c r="X34" i="3"/>
  <c r="W35" i="3"/>
  <c r="X35" i="3"/>
  <c r="W36" i="3"/>
  <c r="X36" i="3"/>
  <c r="W37" i="3"/>
  <c r="X37" i="3"/>
  <c r="W38" i="3"/>
  <c r="X38" i="3"/>
  <c r="W39" i="3"/>
  <c r="X39" i="3"/>
  <c r="W40" i="3"/>
  <c r="X40" i="3"/>
  <c r="W41" i="3"/>
  <c r="X41" i="3"/>
  <c r="W42" i="3"/>
  <c r="X42" i="3"/>
  <c r="W43" i="3"/>
  <c r="X43" i="3"/>
  <c r="W44" i="3"/>
  <c r="X44" i="3"/>
  <c r="W45" i="3"/>
  <c r="X45" i="3"/>
  <c r="W46" i="3"/>
  <c r="X46" i="3"/>
  <c r="W47" i="3"/>
  <c r="X47" i="3"/>
  <c r="W48" i="3"/>
  <c r="X48" i="3"/>
  <c r="W49" i="3"/>
  <c r="X49" i="3"/>
  <c r="W50" i="3"/>
  <c r="X50" i="3"/>
  <c r="W51" i="3"/>
  <c r="X51" i="3"/>
  <c r="W52" i="3"/>
  <c r="X52" i="3"/>
  <c r="W53" i="3"/>
  <c r="X53" i="3"/>
  <c r="W54" i="3"/>
  <c r="X54" i="3"/>
  <c r="W55" i="3"/>
  <c r="X55" i="3"/>
  <c r="W56" i="3"/>
  <c r="X56" i="3"/>
  <c r="W57" i="3"/>
  <c r="X57" i="3"/>
  <c r="W58" i="3"/>
  <c r="X58" i="3"/>
  <c r="W59" i="3"/>
  <c r="X59" i="3"/>
  <c r="W60" i="3"/>
  <c r="X60" i="3"/>
  <c r="W61" i="3"/>
  <c r="X61" i="3"/>
  <c r="W62" i="3"/>
  <c r="X62" i="3"/>
  <c r="W63" i="3"/>
  <c r="X63" i="3"/>
  <c r="W64" i="3"/>
  <c r="X64" i="3"/>
  <c r="W4" i="3"/>
  <c r="U5" i="3"/>
  <c r="V5" i="3"/>
  <c r="U6" i="3"/>
  <c r="V6" i="3"/>
  <c r="U7" i="3"/>
  <c r="V7" i="3"/>
  <c r="U8" i="3"/>
  <c r="V8" i="3"/>
  <c r="U9" i="3"/>
  <c r="V9" i="3"/>
  <c r="U10" i="3"/>
  <c r="V10" i="3"/>
  <c r="U11" i="3"/>
  <c r="V11" i="3"/>
  <c r="U12" i="3"/>
  <c r="V12" i="3"/>
  <c r="U13" i="3"/>
  <c r="V13" i="3"/>
  <c r="U14" i="3"/>
  <c r="V14" i="3"/>
  <c r="U15" i="3"/>
  <c r="V15" i="3"/>
  <c r="U16" i="3"/>
  <c r="V16" i="3"/>
  <c r="U17" i="3"/>
  <c r="V17" i="3"/>
  <c r="U18" i="3"/>
  <c r="V18" i="3"/>
  <c r="U19" i="3"/>
  <c r="V19" i="3"/>
  <c r="U20" i="3"/>
  <c r="V20" i="3"/>
  <c r="U21" i="3"/>
  <c r="V21" i="3"/>
  <c r="U22" i="3"/>
  <c r="V22" i="3"/>
  <c r="U23" i="3"/>
  <c r="V23" i="3"/>
  <c r="U24" i="3"/>
  <c r="V24" i="3"/>
  <c r="U25" i="3"/>
  <c r="V25" i="3"/>
  <c r="U26" i="3"/>
  <c r="V26" i="3"/>
  <c r="U27" i="3"/>
  <c r="V27" i="3"/>
  <c r="U28" i="3"/>
  <c r="V28" i="3"/>
  <c r="U29" i="3"/>
  <c r="V29" i="3"/>
  <c r="U30" i="3"/>
  <c r="V30" i="3"/>
  <c r="U31" i="3"/>
  <c r="V31" i="3"/>
  <c r="U32" i="3"/>
  <c r="V32" i="3"/>
  <c r="U33" i="3"/>
  <c r="V33" i="3"/>
  <c r="U34" i="3"/>
  <c r="V34" i="3"/>
  <c r="U35" i="3"/>
  <c r="V35" i="3"/>
  <c r="U36" i="3"/>
  <c r="V36" i="3"/>
  <c r="U37" i="3"/>
  <c r="V37" i="3"/>
  <c r="U38" i="3"/>
  <c r="V38" i="3"/>
  <c r="U39" i="3"/>
  <c r="V39" i="3"/>
  <c r="U40" i="3"/>
  <c r="V40" i="3"/>
  <c r="U41" i="3"/>
  <c r="V41" i="3"/>
  <c r="U42" i="3"/>
  <c r="V42" i="3"/>
  <c r="U43" i="3"/>
  <c r="V43" i="3"/>
  <c r="U44" i="3"/>
  <c r="V44" i="3"/>
  <c r="U45" i="3"/>
  <c r="V45" i="3"/>
  <c r="U46" i="3"/>
  <c r="V46" i="3"/>
  <c r="U47" i="3"/>
  <c r="V47" i="3"/>
  <c r="U48" i="3"/>
  <c r="V48" i="3"/>
  <c r="U49" i="3"/>
  <c r="V49" i="3"/>
  <c r="U50" i="3"/>
  <c r="V50" i="3"/>
  <c r="U51" i="3"/>
  <c r="V51" i="3"/>
  <c r="U52" i="3"/>
  <c r="V52" i="3"/>
  <c r="U53" i="3"/>
  <c r="V53" i="3"/>
  <c r="U54" i="3"/>
  <c r="V54" i="3"/>
  <c r="U55" i="3"/>
  <c r="V55" i="3"/>
  <c r="U56" i="3"/>
  <c r="V56" i="3"/>
  <c r="U57" i="3"/>
  <c r="V57" i="3"/>
  <c r="U58" i="3"/>
  <c r="V58" i="3"/>
  <c r="U59" i="3"/>
  <c r="V59" i="3"/>
  <c r="U60" i="3"/>
  <c r="V60" i="3"/>
  <c r="U61" i="3"/>
  <c r="V61" i="3"/>
  <c r="U62" i="3"/>
  <c r="V62" i="3"/>
  <c r="U63" i="3"/>
  <c r="V63" i="3"/>
  <c r="U64" i="3"/>
  <c r="V64" i="3"/>
  <c r="X4" i="3"/>
  <c r="V4" i="3"/>
  <c r="U4" i="3"/>
  <c r="Q5" i="3"/>
  <c r="S5" i="3" s="1"/>
  <c r="R5" i="3"/>
  <c r="T5" i="3" s="1"/>
  <c r="Q6" i="3"/>
  <c r="S6" i="3" s="1"/>
  <c r="R6" i="3"/>
  <c r="T6" i="3"/>
  <c r="Q7" i="3"/>
  <c r="S7" i="3" s="1"/>
  <c r="R7" i="3"/>
  <c r="T7" i="3" s="1"/>
  <c r="Q8" i="3"/>
  <c r="S8" i="3" s="1"/>
  <c r="R8" i="3"/>
  <c r="T8" i="3"/>
  <c r="Q9" i="3"/>
  <c r="S9" i="3" s="1"/>
  <c r="R9" i="3"/>
  <c r="T9" i="3" s="1"/>
  <c r="Q10" i="3"/>
  <c r="S10" i="3" s="1"/>
  <c r="R10" i="3"/>
  <c r="T10" i="3"/>
  <c r="Q11" i="3"/>
  <c r="S11" i="3" s="1"/>
  <c r="R11" i="3"/>
  <c r="T11" i="3" s="1"/>
  <c r="Q12" i="3"/>
  <c r="S12" i="3" s="1"/>
  <c r="R12" i="3"/>
  <c r="T12" i="3"/>
  <c r="Q13" i="3"/>
  <c r="S13" i="3" s="1"/>
  <c r="R13" i="3"/>
  <c r="T13" i="3" s="1"/>
  <c r="Q14" i="3"/>
  <c r="S14" i="3" s="1"/>
  <c r="R14" i="3"/>
  <c r="T14" i="3"/>
  <c r="Q15" i="3"/>
  <c r="S15" i="3" s="1"/>
  <c r="R15" i="3"/>
  <c r="T15" i="3" s="1"/>
  <c r="Q16" i="3"/>
  <c r="S16" i="3" s="1"/>
  <c r="R16" i="3"/>
  <c r="T16" i="3"/>
  <c r="Q17" i="3"/>
  <c r="S17" i="3" s="1"/>
  <c r="R17" i="3"/>
  <c r="T17" i="3" s="1"/>
  <c r="Q18" i="3"/>
  <c r="S18" i="3" s="1"/>
  <c r="R18" i="3"/>
  <c r="T18" i="3"/>
  <c r="Q19" i="3"/>
  <c r="S19" i="3" s="1"/>
  <c r="R19" i="3"/>
  <c r="T19" i="3" s="1"/>
  <c r="Q20" i="3"/>
  <c r="S20" i="3" s="1"/>
  <c r="R20" i="3"/>
  <c r="T20" i="3"/>
  <c r="Q21" i="3"/>
  <c r="S21" i="3" s="1"/>
  <c r="R21" i="3"/>
  <c r="T21" i="3" s="1"/>
  <c r="Q22" i="3"/>
  <c r="S22" i="3" s="1"/>
  <c r="R22" i="3"/>
  <c r="T22" i="3"/>
  <c r="Q23" i="3"/>
  <c r="S23" i="3" s="1"/>
  <c r="R23" i="3"/>
  <c r="T23" i="3" s="1"/>
  <c r="Q24" i="3"/>
  <c r="S24" i="3" s="1"/>
  <c r="R24" i="3"/>
  <c r="T24" i="3"/>
  <c r="Q25" i="3"/>
  <c r="S25" i="3" s="1"/>
  <c r="R25" i="3"/>
  <c r="T25" i="3" s="1"/>
  <c r="Q26" i="3"/>
  <c r="S26" i="3" s="1"/>
  <c r="R26" i="3"/>
  <c r="T26" i="3"/>
  <c r="Q27" i="3"/>
  <c r="S27" i="3" s="1"/>
  <c r="R27" i="3"/>
  <c r="T27" i="3" s="1"/>
  <c r="Q28" i="3"/>
  <c r="S28" i="3" s="1"/>
  <c r="R28" i="3"/>
  <c r="T28" i="3"/>
  <c r="Q29" i="3"/>
  <c r="S29" i="3" s="1"/>
  <c r="R29" i="3"/>
  <c r="T29" i="3" s="1"/>
  <c r="Q30" i="3"/>
  <c r="S30" i="3" s="1"/>
  <c r="R30" i="3"/>
  <c r="T30" i="3"/>
  <c r="Q31" i="3"/>
  <c r="S31" i="3" s="1"/>
  <c r="R31" i="3"/>
  <c r="T31" i="3" s="1"/>
  <c r="Q32" i="3"/>
  <c r="S32" i="3" s="1"/>
  <c r="R32" i="3"/>
  <c r="T32" i="3"/>
  <c r="Q33" i="3"/>
  <c r="S33" i="3" s="1"/>
  <c r="R33" i="3"/>
  <c r="T33" i="3" s="1"/>
  <c r="Q34" i="3"/>
  <c r="S34" i="3" s="1"/>
  <c r="R34" i="3"/>
  <c r="T34" i="3"/>
  <c r="Q35" i="3"/>
  <c r="S35" i="3" s="1"/>
  <c r="R35" i="3"/>
  <c r="T35" i="3" s="1"/>
  <c r="Q36" i="3"/>
  <c r="S36" i="3" s="1"/>
  <c r="R36" i="3"/>
  <c r="T36" i="3"/>
  <c r="Q37" i="3"/>
  <c r="S37" i="3" s="1"/>
  <c r="R37" i="3"/>
  <c r="T37" i="3" s="1"/>
  <c r="Q38" i="3"/>
  <c r="S38" i="3" s="1"/>
  <c r="R38" i="3"/>
  <c r="T38" i="3"/>
  <c r="Q39" i="3"/>
  <c r="S39" i="3" s="1"/>
  <c r="R39" i="3"/>
  <c r="T39" i="3" s="1"/>
  <c r="Q40" i="3"/>
  <c r="S40" i="3" s="1"/>
  <c r="R40" i="3"/>
  <c r="T40" i="3"/>
  <c r="Q41" i="3"/>
  <c r="S41" i="3" s="1"/>
  <c r="R41" i="3"/>
  <c r="T41" i="3" s="1"/>
  <c r="Q42" i="3"/>
  <c r="S42" i="3" s="1"/>
  <c r="R42" i="3"/>
  <c r="T42" i="3"/>
  <c r="Q43" i="3"/>
  <c r="S43" i="3" s="1"/>
  <c r="R43" i="3"/>
  <c r="T43" i="3" s="1"/>
  <c r="Q44" i="3"/>
  <c r="S44" i="3" s="1"/>
  <c r="R44" i="3"/>
  <c r="T44" i="3"/>
  <c r="Q45" i="3"/>
  <c r="S45" i="3" s="1"/>
  <c r="R45" i="3"/>
  <c r="T45" i="3" s="1"/>
  <c r="Q46" i="3"/>
  <c r="S46" i="3" s="1"/>
  <c r="R46" i="3"/>
  <c r="T46" i="3"/>
  <c r="Q47" i="3"/>
  <c r="S47" i="3" s="1"/>
  <c r="R47" i="3"/>
  <c r="T47" i="3" s="1"/>
  <c r="Q48" i="3"/>
  <c r="S48" i="3" s="1"/>
  <c r="R48" i="3"/>
  <c r="T48" i="3"/>
  <c r="Q49" i="3"/>
  <c r="S49" i="3" s="1"/>
  <c r="R49" i="3"/>
  <c r="T49" i="3" s="1"/>
  <c r="Q50" i="3"/>
  <c r="S50" i="3" s="1"/>
  <c r="R50" i="3"/>
  <c r="T50" i="3"/>
  <c r="Q51" i="3"/>
  <c r="S51" i="3" s="1"/>
  <c r="R51" i="3"/>
  <c r="T51" i="3" s="1"/>
  <c r="Q52" i="3"/>
  <c r="S52" i="3" s="1"/>
  <c r="R52" i="3"/>
  <c r="T52" i="3"/>
  <c r="Q53" i="3"/>
  <c r="S53" i="3" s="1"/>
  <c r="R53" i="3"/>
  <c r="T53" i="3" s="1"/>
  <c r="Q54" i="3"/>
  <c r="S54" i="3" s="1"/>
  <c r="R54" i="3"/>
  <c r="T54" i="3"/>
  <c r="Q55" i="3"/>
  <c r="S55" i="3" s="1"/>
  <c r="R55" i="3"/>
  <c r="T55" i="3" s="1"/>
  <c r="Q56" i="3"/>
  <c r="S56" i="3" s="1"/>
  <c r="R56" i="3"/>
  <c r="T56" i="3"/>
  <c r="Q57" i="3"/>
  <c r="S57" i="3" s="1"/>
  <c r="R57" i="3"/>
  <c r="T57" i="3" s="1"/>
  <c r="Q58" i="3"/>
  <c r="S58" i="3" s="1"/>
  <c r="R58" i="3"/>
  <c r="T58" i="3"/>
  <c r="Q59" i="3"/>
  <c r="S59" i="3" s="1"/>
  <c r="R59" i="3"/>
  <c r="T59" i="3" s="1"/>
  <c r="Q60" i="3"/>
  <c r="S60" i="3" s="1"/>
  <c r="R60" i="3"/>
  <c r="T60" i="3"/>
  <c r="Q61" i="3"/>
  <c r="S61" i="3" s="1"/>
  <c r="R61" i="3"/>
  <c r="T61" i="3" s="1"/>
  <c r="Q62" i="3"/>
  <c r="S62" i="3" s="1"/>
  <c r="R62" i="3"/>
  <c r="T62" i="3"/>
  <c r="Q63" i="3"/>
  <c r="S63" i="3" s="1"/>
  <c r="R63" i="3"/>
  <c r="T63" i="3" s="1"/>
  <c r="Q64" i="3"/>
  <c r="S64" i="3" s="1"/>
  <c r="R64" i="3"/>
  <c r="T64" i="3"/>
  <c r="Q4" i="3"/>
  <c r="L5" i="3"/>
  <c r="M5" i="3"/>
  <c r="L6" i="3"/>
  <c r="M6" i="3"/>
  <c r="N6" i="3" s="1"/>
  <c r="L7" i="3"/>
  <c r="M7" i="3"/>
  <c r="N7" i="3" s="1"/>
  <c r="L8" i="3"/>
  <c r="M8" i="3"/>
  <c r="L9" i="3"/>
  <c r="M9" i="3"/>
  <c r="L10" i="3"/>
  <c r="M10" i="3"/>
  <c r="N10" i="3" s="1"/>
  <c r="L11" i="3"/>
  <c r="M11" i="3"/>
  <c r="N11" i="3" s="1"/>
  <c r="L12" i="3"/>
  <c r="M12" i="3"/>
  <c r="L13" i="3"/>
  <c r="M13" i="3"/>
  <c r="L14" i="3"/>
  <c r="M14" i="3"/>
  <c r="N14" i="3" s="1"/>
  <c r="L15" i="3"/>
  <c r="M15" i="3"/>
  <c r="L16" i="3"/>
  <c r="M16" i="3"/>
  <c r="L17" i="3"/>
  <c r="M17" i="3"/>
  <c r="L18" i="3"/>
  <c r="M18" i="3"/>
  <c r="N18" i="3" s="1"/>
  <c r="L19" i="3"/>
  <c r="M19" i="3"/>
  <c r="N19" i="3" s="1"/>
  <c r="L20" i="3"/>
  <c r="M20" i="3"/>
  <c r="L21" i="3"/>
  <c r="M21" i="3"/>
  <c r="L22" i="3"/>
  <c r="M22" i="3"/>
  <c r="N22" i="3" s="1"/>
  <c r="L23" i="3"/>
  <c r="M23" i="3"/>
  <c r="L24" i="3"/>
  <c r="M24" i="3"/>
  <c r="L25" i="3"/>
  <c r="M25" i="3"/>
  <c r="L26" i="3"/>
  <c r="M26" i="3"/>
  <c r="N26" i="3" s="1"/>
  <c r="L27" i="3"/>
  <c r="M27" i="3"/>
  <c r="N27" i="3" s="1"/>
  <c r="L28" i="3"/>
  <c r="M28" i="3"/>
  <c r="L29" i="3"/>
  <c r="M29" i="3"/>
  <c r="L30" i="3"/>
  <c r="M30" i="3"/>
  <c r="N30" i="3" s="1"/>
  <c r="L31" i="3"/>
  <c r="M31" i="3"/>
  <c r="N31" i="3" s="1"/>
  <c r="L32" i="3"/>
  <c r="M32" i="3"/>
  <c r="L33" i="3"/>
  <c r="M33" i="3"/>
  <c r="L34" i="3"/>
  <c r="M34" i="3"/>
  <c r="N34" i="3" s="1"/>
  <c r="L35" i="3"/>
  <c r="M35" i="3"/>
  <c r="L36" i="3"/>
  <c r="M36" i="3"/>
  <c r="L37" i="3"/>
  <c r="M37" i="3"/>
  <c r="L38" i="3"/>
  <c r="M38" i="3"/>
  <c r="N38" i="3" s="1"/>
  <c r="L39" i="3"/>
  <c r="M39" i="3"/>
  <c r="N39" i="3" s="1"/>
  <c r="L40" i="3"/>
  <c r="M40" i="3"/>
  <c r="L41" i="3"/>
  <c r="M41" i="3"/>
  <c r="L42" i="3"/>
  <c r="M42" i="3"/>
  <c r="N42" i="3" s="1"/>
  <c r="L43" i="3"/>
  <c r="M43" i="3"/>
  <c r="N43" i="3" s="1"/>
  <c r="L44" i="3"/>
  <c r="M44" i="3"/>
  <c r="L45" i="3"/>
  <c r="M45" i="3"/>
  <c r="L46" i="3"/>
  <c r="M46" i="3"/>
  <c r="N46" i="3" s="1"/>
  <c r="L47" i="3"/>
  <c r="M47" i="3"/>
  <c r="N47" i="3" s="1"/>
  <c r="L48" i="3"/>
  <c r="M48" i="3"/>
  <c r="L49" i="3"/>
  <c r="M49" i="3"/>
  <c r="L50" i="3"/>
  <c r="M50" i="3"/>
  <c r="N50" i="3" s="1"/>
  <c r="L51" i="3"/>
  <c r="M51" i="3"/>
  <c r="L52" i="3"/>
  <c r="M52" i="3"/>
  <c r="L53" i="3"/>
  <c r="O53" i="3" s="1"/>
  <c r="M53" i="3"/>
  <c r="L54" i="3"/>
  <c r="M54" i="3"/>
  <c r="N54" i="3" s="1"/>
  <c r="L55" i="3"/>
  <c r="M55" i="3"/>
  <c r="N55" i="3" s="1"/>
  <c r="L56" i="3"/>
  <c r="M56" i="3"/>
  <c r="L57" i="3"/>
  <c r="M57" i="3"/>
  <c r="L58" i="3"/>
  <c r="M58" i="3"/>
  <c r="N58" i="3" s="1"/>
  <c r="L59" i="3"/>
  <c r="M59" i="3"/>
  <c r="N59" i="3" s="1"/>
  <c r="L60" i="3"/>
  <c r="M60" i="3"/>
  <c r="L61" i="3"/>
  <c r="O61" i="3" s="1"/>
  <c r="M61" i="3"/>
  <c r="L62" i="3"/>
  <c r="M62" i="3"/>
  <c r="N62" i="3" s="1"/>
  <c r="L63" i="3"/>
  <c r="M63" i="3"/>
  <c r="N63" i="3" s="1"/>
  <c r="L64" i="3"/>
  <c r="M64" i="3"/>
  <c r="M4" i="3"/>
  <c r="L4" i="3"/>
  <c r="N5" i="3"/>
  <c r="O5" i="3"/>
  <c r="O6" i="3"/>
  <c r="O7" i="3"/>
  <c r="N8" i="3"/>
  <c r="O8" i="3"/>
  <c r="N9" i="3"/>
  <c r="O9" i="3"/>
  <c r="O10" i="3"/>
  <c r="O11" i="3"/>
  <c r="N12" i="3"/>
  <c r="O12" i="3"/>
  <c r="N13" i="3"/>
  <c r="O13" i="3"/>
  <c r="O14" i="3"/>
  <c r="O15" i="3"/>
  <c r="N16" i="3"/>
  <c r="O16" i="3"/>
  <c r="N17" i="3"/>
  <c r="O17" i="3"/>
  <c r="O18" i="3"/>
  <c r="O19" i="3"/>
  <c r="N20" i="3"/>
  <c r="O20" i="3"/>
  <c r="N21" i="3"/>
  <c r="O21" i="3"/>
  <c r="O22" i="3"/>
  <c r="O23" i="3"/>
  <c r="N24" i="3"/>
  <c r="O24" i="3"/>
  <c r="N25" i="3"/>
  <c r="O25" i="3"/>
  <c r="O26" i="3"/>
  <c r="O27" i="3"/>
  <c r="N28" i="3"/>
  <c r="O28" i="3"/>
  <c r="N29" i="3"/>
  <c r="O29" i="3"/>
  <c r="O30" i="3"/>
  <c r="O31" i="3"/>
  <c r="N32" i="3"/>
  <c r="O32" i="3"/>
  <c r="N33" i="3"/>
  <c r="O33" i="3"/>
  <c r="O34" i="3"/>
  <c r="O35" i="3"/>
  <c r="N36" i="3"/>
  <c r="O36" i="3"/>
  <c r="N37" i="3"/>
  <c r="O37" i="3"/>
  <c r="O38" i="3"/>
  <c r="O39" i="3"/>
  <c r="N40" i="3"/>
  <c r="O40" i="3"/>
  <c r="N41" i="3"/>
  <c r="O41" i="3"/>
  <c r="O42" i="3"/>
  <c r="O43" i="3"/>
  <c r="N44" i="3"/>
  <c r="O44" i="3"/>
  <c r="N45" i="3"/>
  <c r="O45" i="3"/>
  <c r="O46" i="3"/>
  <c r="O47" i="3"/>
  <c r="N48" i="3"/>
  <c r="O48" i="3"/>
  <c r="N49" i="3"/>
  <c r="O49" i="3"/>
  <c r="O50" i="3"/>
  <c r="O51" i="3"/>
  <c r="N52" i="3"/>
  <c r="O52" i="3"/>
  <c r="N53" i="3"/>
  <c r="O54" i="3"/>
  <c r="O55" i="3"/>
  <c r="N56" i="3"/>
  <c r="O56" i="3"/>
  <c r="N57" i="3"/>
  <c r="O58" i="3"/>
  <c r="O59" i="3"/>
  <c r="N60" i="3"/>
  <c r="O60" i="3"/>
  <c r="N61" i="3"/>
  <c r="O62" i="3"/>
  <c r="O63" i="3"/>
  <c r="N64" i="3"/>
  <c r="O64" i="3"/>
  <c r="O4" i="3"/>
  <c r="N4" i="3"/>
  <c r="N51" i="3" l="1"/>
  <c r="N35" i="3"/>
  <c r="N23" i="3"/>
  <c r="N15" i="3"/>
  <c r="O57" i="3"/>
  <c r="T4" i="3"/>
  <c r="S4" i="3"/>
  <c r="G64" i="3"/>
  <c r="C64" i="3"/>
  <c r="D64" i="3" s="1"/>
  <c r="G63" i="3"/>
  <c r="D63" i="3"/>
  <c r="K63" i="3" s="1"/>
  <c r="C63" i="3"/>
  <c r="G62" i="3"/>
  <c r="C62" i="3"/>
  <c r="D62" i="3" s="1"/>
  <c r="G61" i="3"/>
  <c r="C61" i="3"/>
  <c r="D61" i="3" s="1"/>
  <c r="K61" i="3" s="1"/>
  <c r="G60" i="3"/>
  <c r="C60" i="3"/>
  <c r="D60" i="3" s="1"/>
  <c r="E60" i="3" s="1"/>
  <c r="F60" i="3" s="1"/>
  <c r="H60" i="3" s="1"/>
  <c r="G59" i="3"/>
  <c r="C59" i="3"/>
  <c r="D59" i="3" s="1"/>
  <c r="K59" i="3" s="1"/>
  <c r="G58" i="3"/>
  <c r="C58" i="3"/>
  <c r="D58" i="3" s="1"/>
  <c r="G57" i="3"/>
  <c r="C57" i="3"/>
  <c r="D57" i="3" s="1"/>
  <c r="E57" i="3" s="1"/>
  <c r="F57" i="3" s="1"/>
  <c r="G56" i="3"/>
  <c r="D56" i="3"/>
  <c r="K56" i="3" s="1"/>
  <c r="C56" i="3"/>
  <c r="G55" i="3"/>
  <c r="D55" i="3"/>
  <c r="C55" i="3"/>
  <c r="G54" i="3"/>
  <c r="D54" i="3"/>
  <c r="K54" i="3" s="1"/>
  <c r="C54" i="3"/>
  <c r="G53" i="3"/>
  <c r="C53" i="3"/>
  <c r="D53" i="3" s="1"/>
  <c r="G52" i="3"/>
  <c r="C52" i="3"/>
  <c r="D52" i="3" s="1"/>
  <c r="G51" i="3"/>
  <c r="C51" i="3"/>
  <c r="D51" i="3" s="1"/>
  <c r="G50" i="3"/>
  <c r="C50" i="3"/>
  <c r="D50" i="3" s="1"/>
  <c r="G49" i="3"/>
  <c r="C49" i="3"/>
  <c r="D49" i="3" s="1"/>
  <c r="G48" i="3"/>
  <c r="C48" i="3"/>
  <c r="D48" i="3" s="1"/>
  <c r="G47" i="3"/>
  <c r="D47" i="3"/>
  <c r="K47" i="3" s="1"/>
  <c r="C47" i="3"/>
  <c r="G46" i="3"/>
  <c r="C46" i="3"/>
  <c r="D46" i="3" s="1"/>
  <c r="G45" i="3"/>
  <c r="C45" i="3"/>
  <c r="D45" i="3" s="1"/>
  <c r="K45" i="3" s="1"/>
  <c r="G44" i="3"/>
  <c r="C44" i="3"/>
  <c r="D44" i="3" s="1"/>
  <c r="G43" i="3"/>
  <c r="C43" i="3"/>
  <c r="D43" i="3" s="1"/>
  <c r="G42" i="3"/>
  <c r="C42" i="3"/>
  <c r="D42" i="3" s="1"/>
  <c r="G41" i="3"/>
  <c r="C41" i="3"/>
  <c r="D41" i="3" s="1"/>
  <c r="K41" i="3" s="1"/>
  <c r="G40" i="3"/>
  <c r="C40" i="3"/>
  <c r="D40" i="3" s="1"/>
  <c r="G39" i="3"/>
  <c r="C39" i="3"/>
  <c r="D39" i="3" s="1"/>
  <c r="G38" i="3"/>
  <c r="D38" i="3"/>
  <c r="K38" i="3" s="1"/>
  <c r="C38" i="3"/>
  <c r="G37" i="3"/>
  <c r="C37" i="3"/>
  <c r="D37" i="3" s="1"/>
  <c r="G36" i="3"/>
  <c r="C36" i="3"/>
  <c r="D36" i="3" s="1"/>
  <c r="G35" i="3"/>
  <c r="C35" i="3"/>
  <c r="D35" i="3" s="1"/>
  <c r="G34" i="3"/>
  <c r="C34" i="3"/>
  <c r="D34" i="3" s="1"/>
  <c r="E34" i="3" s="1"/>
  <c r="F34" i="3" s="1"/>
  <c r="H34" i="3" s="1"/>
  <c r="G33" i="3"/>
  <c r="C33" i="3"/>
  <c r="D33" i="3" s="1"/>
  <c r="K33" i="3" s="1"/>
  <c r="G32" i="3"/>
  <c r="C32" i="3"/>
  <c r="D32" i="3" s="1"/>
  <c r="K32" i="3" s="1"/>
  <c r="G31" i="3"/>
  <c r="C31" i="3"/>
  <c r="D31" i="3" s="1"/>
  <c r="G30" i="3"/>
  <c r="D30" i="3"/>
  <c r="E30" i="3" s="1"/>
  <c r="F30" i="3" s="1"/>
  <c r="C30" i="3"/>
  <c r="G29" i="3"/>
  <c r="C29" i="3"/>
  <c r="D29" i="3" s="1"/>
  <c r="G28" i="3"/>
  <c r="C28" i="3"/>
  <c r="D28" i="3" s="1"/>
  <c r="G27" i="3"/>
  <c r="D27" i="3"/>
  <c r="K27" i="3" s="1"/>
  <c r="C27" i="3"/>
  <c r="G26" i="3"/>
  <c r="C26" i="3"/>
  <c r="D26" i="3" s="1"/>
  <c r="G25" i="3"/>
  <c r="C25" i="3"/>
  <c r="D25" i="3" s="1"/>
  <c r="K25" i="3" s="1"/>
  <c r="G24" i="3"/>
  <c r="C24" i="3"/>
  <c r="D24" i="3" s="1"/>
  <c r="G23" i="3"/>
  <c r="C23" i="3"/>
  <c r="D23" i="3" s="1"/>
  <c r="G22" i="3"/>
  <c r="C22" i="3"/>
  <c r="D22" i="3" s="1"/>
  <c r="E22" i="3" s="1"/>
  <c r="F22" i="3" s="1"/>
  <c r="G21" i="3"/>
  <c r="D21" i="3"/>
  <c r="K21" i="3" s="1"/>
  <c r="C21" i="3"/>
  <c r="G20" i="3"/>
  <c r="C20" i="3"/>
  <c r="D20" i="3" s="1"/>
  <c r="G19" i="3"/>
  <c r="C19" i="3"/>
  <c r="D19" i="3" s="1"/>
  <c r="G18" i="3"/>
  <c r="C18" i="3"/>
  <c r="D18" i="3" s="1"/>
  <c r="E18" i="3" s="1"/>
  <c r="F18" i="3" s="1"/>
  <c r="H18" i="3" s="1"/>
  <c r="G17" i="3"/>
  <c r="C17" i="3"/>
  <c r="D17" i="3" s="1"/>
  <c r="K17" i="3" s="1"/>
  <c r="G16" i="3"/>
  <c r="C16" i="3"/>
  <c r="D16" i="3" s="1"/>
  <c r="G15" i="3"/>
  <c r="C15" i="3"/>
  <c r="D15" i="3" s="1"/>
  <c r="G14" i="3"/>
  <c r="C14" i="3"/>
  <c r="D14" i="3" s="1"/>
  <c r="K14" i="3" s="1"/>
  <c r="G13" i="3"/>
  <c r="D13" i="3"/>
  <c r="E13" i="3" s="1"/>
  <c r="F13" i="3" s="1"/>
  <c r="C13" i="3"/>
  <c r="G12" i="3"/>
  <c r="C12" i="3"/>
  <c r="D12" i="3" s="1"/>
  <c r="G11" i="3"/>
  <c r="D11" i="3"/>
  <c r="E11" i="3" s="1"/>
  <c r="F11" i="3" s="1"/>
  <c r="H11" i="3" s="1"/>
  <c r="C11" i="3"/>
  <c r="G10" i="3"/>
  <c r="C10" i="3"/>
  <c r="D10" i="3" s="1"/>
  <c r="G9" i="3"/>
  <c r="C9" i="3"/>
  <c r="D9" i="3" s="1"/>
  <c r="K9" i="3" s="1"/>
  <c r="G8" i="3"/>
  <c r="C8" i="3"/>
  <c r="D8" i="3" s="1"/>
  <c r="G7" i="3"/>
  <c r="C7" i="3"/>
  <c r="D7" i="3" s="1"/>
  <c r="K7" i="3" s="1"/>
  <c r="G6" i="3"/>
  <c r="C6" i="3"/>
  <c r="D6" i="3" s="1"/>
  <c r="G5" i="3"/>
  <c r="C5" i="3"/>
  <c r="D5" i="3" s="1"/>
  <c r="E5" i="3" s="1"/>
  <c r="F5" i="3" s="1"/>
  <c r="G4" i="3"/>
  <c r="C4" i="3"/>
  <c r="D4" i="3" s="1"/>
  <c r="E48" i="3" l="1"/>
  <c r="F48" i="3" s="1"/>
  <c r="H48" i="3" s="1"/>
  <c r="K48" i="3"/>
  <c r="K43" i="3"/>
  <c r="E43" i="3"/>
  <c r="F43" i="3" s="1"/>
  <c r="H43" i="3" s="1"/>
  <c r="H13" i="3"/>
  <c r="E58" i="3"/>
  <c r="F58" i="3" s="1"/>
  <c r="H58" i="3" s="1"/>
  <c r="K58" i="3"/>
  <c r="K4" i="3"/>
  <c r="E4" i="3"/>
  <c r="F4" i="3" s="1"/>
  <c r="E24" i="3"/>
  <c r="F24" i="3" s="1"/>
  <c r="K24" i="3"/>
  <c r="E29" i="3"/>
  <c r="F29" i="3" s="1"/>
  <c r="H29" i="3" s="1"/>
  <c r="K29" i="3"/>
  <c r="K37" i="3"/>
  <c r="E37" i="3"/>
  <c r="F37" i="3" s="1"/>
  <c r="H37" i="3" s="1"/>
  <c r="K52" i="3"/>
  <c r="E52" i="3"/>
  <c r="F52" i="3" s="1"/>
  <c r="E64" i="3"/>
  <c r="F64" i="3" s="1"/>
  <c r="K64" i="3"/>
  <c r="E16" i="3"/>
  <c r="F16" i="3" s="1"/>
  <c r="K16" i="3"/>
  <c r="H22" i="3"/>
  <c r="K62" i="3"/>
  <c r="E62" i="3"/>
  <c r="F62" i="3" s="1"/>
  <c r="H62" i="3" s="1"/>
  <c r="K8" i="3"/>
  <c r="E8" i="3"/>
  <c r="F8" i="3" s="1"/>
  <c r="H8" i="3" s="1"/>
  <c r="E40" i="3"/>
  <c r="F40" i="3" s="1"/>
  <c r="K40" i="3"/>
  <c r="E50" i="3"/>
  <c r="F50" i="3" s="1"/>
  <c r="K50" i="3"/>
  <c r="H57" i="3"/>
  <c r="E21" i="3"/>
  <c r="F21" i="3" s="1"/>
  <c r="E54" i="3"/>
  <c r="F54" i="3" s="1"/>
  <c r="H54" i="3" s="1"/>
  <c r="E63" i="3"/>
  <c r="F63" i="3" s="1"/>
  <c r="H63" i="3" s="1"/>
  <c r="K11" i="3"/>
  <c r="K13" i="3"/>
  <c r="K57" i="3"/>
  <c r="K5" i="3"/>
  <c r="E47" i="3"/>
  <c r="F47" i="3" s="1"/>
  <c r="H47" i="3" s="1"/>
  <c r="E56" i="3"/>
  <c r="F56" i="3" s="1"/>
  <c r="K18" i="3"/>
  <c r="H30" i="3"/>
  <c r="E9" i="3"/>
  <c r="F9" i="3" s="1"/>
  <c r="H5" i="3"/>
  <c r="E36" i="3"/>
  <c r="F36" i="3" s="1"/>
  <c r="K36" i="3"/>
  <c r="E28" i="3"/>
  <c r="F28" i="3" s="1"/>
  <c r="K28" i="3"/>
  <c r="K39" i="3"/>
  <c r="E39" i="3"/>
  <c r="F39" i="3" s="1"/>
  <c r="E12" i="3"/>
  <c r="F12" i="3" s="1"/>
  <c r="K12" i="3"/>
  <c r="K19" i="3"/>
  <c r="E19" i="3"/>
  <c r="F19" i="3" s="1"/>
  <c r="K35" i="3"/>
  <c r="E35" i="3"/>
  <c r="F35" i="3" s="1"/>
  <c r="K15" i="3"/>
  <c r="E15" i="3"/>
  <c r="F15" i="3" s="1"/>
  <c r="K23" i="3"/>
  <c r="E23" i="3"/>
  <c r="F23" i="3" s="1"/>
  <c r="E44" i="3"/>
  <c r="F44" i="3" s="1"/>
  <c r="K44" i="3"/>
  <c r="K31" i="3"/>
  <c r="E31" i="3"/>
  <c r="F31" i="3" s="1"/>
  <c r="E32" i="3"/>
  <c r="F32" i="3" s="1"/>
  <c r="K51" i="3"/>
  <c r="E51" i="3"/>
  <c r="F51" i="3" s="1"/>
  <c r="E7" i="3"/>
  <c r="F7" i="3" s="1"/>
  <c r="E14" i="3"/>
  <c r="F14" i="3" s="1"/>
  <c r="K22" i="3"/>
  <c r="K30" i="3"/>
  <c r="E33" i="3"/>
  <c r="F33" i="3" s="1"/>
  <c r="E41" i="3"/>
  <c r="F41" i="3" s="1"/>
  <c r="E42" i="3"/>
  <c r="F42" i="3" s="1"/>
  <c r="K42" i="3"/>
  <c r="E45" i="3"/>
  <c r="F45" i="3" s="1"/>
  <c r="K46" i="3"/>
  <c r="E46" i="3"/>
  <c r="F46" i="3" s="1"/>
  <c r="E27" i="3"/>
  <c r="F27" i="3" s="1"/>
  <c r="K53" i="3"/>
  <c r="E53" i="3"/>
  <c r="F53" i="3" s="1"/>
  <c r="E49" i="3"/>
  <c r="F49" i="3" s="1"/>
  <c r="K49" i="3"/>
  <c r="E38" i="3"/>
  <c r="F38" i="3" s="1"/>
  <c r="E17" i="3"/>
  <c r="F17" i="3" s="1"/>
  <c r="E25" i="3"/>
  <c r="F25" i="3" s="1"/>
  <c r="E26" i="3"/>
  <c r="F26" i="3" s="1"/>
  <c r="K26" i="3"/>
  <c r="K34" i="3"/>
  <c r="E10" i="3"/>
  <c r="F10" i="3" s="1"/>
  <c r="K10" i="3"/>
  <c r="E6" i="3"/>
  <c r="F6" i="3" s="1"/>
  <c r="K6" i="3"/>
  <c r="E20" i="3"/>
  <c r="F20" i="3" s="1"/>
  <c r="K20" i="3"/>
  <c r="K55" i="3"/>
  <c r="E55" i="3"/>
  <c r="F55" i="3" s="1"/>
  <c r="E59" i="3"/>
  <c r="F59" i="3" s="1"/>
  <c r="K60" i="3"/>
  <c r="E61" i="3"/>
  <c r="F61" i="3" s="1"/>
  <c r="H46" i="3" l="1"/>
  <c r="H12" i="3"/>
  <c r="H31" i="3"/>
  <c r="H40" i="3"/>
  <c r="H16" i="3"/>
  <c r="H17" i="3"/>
  <c r="H45" i="3"/>
  <c r="H14" i="3"/>
  <c r="H9" i="3"/>
  <c r="H21" i="3"/>
  <c r="H50" i="3"/>
  <c r="H55" i="3"/>
  <c r="H35" i="3"/>
  <c r="H64" i="3"/>
  <c r="H24" i="3"/>
  <c r="H28" i="3"/>
  <c r="H26" i="3"/>
  <c r="H61" i="3"/>
  <c r="H10" i="3"/>
  <c r="H53" i="3"/>
  <c r="H59" i="3"/>
  <c r="H49" i="3"/>
  <c r="H42" i="3"/>
  <c r="H44" i="3"/>
  <c r="H52" i="3"/>
  <c r="H4" i="3"/>
  <c r="H15" i="3"/>
  <c r="H39" i="3"/>
  <c r="H41" i="3"/>
  <c r="H7" i="3"/>
  <c r="H32" i="3"/>
  <c r="H23" i="3"/>
  <c r="H19" i="3"/>
  <c r="H36" i="3"/>
  <c r="H6" i="3"/>
  <c r="H25" i="3"/>
  <c r="H20" i="3"/>
  <c r="H38" i="3"/>
  <c r="H27" i="3"/>
  <c r="H33" i="3"/>
  <c r="H51" i="3"/>
  <c r="H56" i="3"/>
  <c r="G5" i="2"/>
  <c r="G6" i="2"/>
  <c r="G7" i="2"/>
  <c r="G8" i="2"/>
  <c r="G9" i="2"/>
  <c r="H9" i="2" s="1"/>
  <c r="L9" i="2" s="1"/>
  <c r="G10" i="2"/>
  <c r="G11" i="2"/>
  <c r="H11" i="2" s="1"/>
  <c r="L11" i="2" s="1"/>
  <c r="G12" i="2"/>
  <c r="H12" i="2" s="1"/>
  <c r="L12" i="2" s="1"/>
  <c r="G13" i="2"/>
  <c r="G14" i="2"/>
  <c r="G15" i="2"/>
  <c r="G16" i="2"/>
  <c r="G17" i="2"/>
  <c r="H17" i="2" s="1"/>
  <c r="L17" i="2" s="1"/>
  <c r="G18" i="2"/>
  <c r="H18" i="2" s="1"/>
  <c r="L18" i="2" s="1"/>
  <c r="G19" i="2"/>
  <c r="G20" i="2"/>
  <c r="H20" i="2" s="1"/>
  <c r="L20" i="2" s="1"/>
  <c r="G21" i="2"/>
  <c r="G22" i="2"/>
  <c r="G23" i="2"/>
  <c r="G24" i="2"/>
  <c r="H24" i="2" s="1"/>
  <c r="L24" i="2" s="1"/>
  <c r="G25" i="2"/>
  <c r="G26" i="2"/>
  <c r="H26" i="2" s="1"/>
  <c r="L26" i="2" s="1"/>
  <c r="G27" i="2"/>
  <c r="H27" i="2" s="1"/>
  <c r="L27" i="2" s="1"/>
  <c r="G28" i="2"/>
  <c r="H28" i="2" s="1"/>
  <c r="L28" i="2" s="1"/>
  <c r="G29" i="2"/>
  <c r="G30" i="2"/>
  <c r="G31" i="2"/>
  <c r="G32" i="2"/>
  <c r="G33" i="2"/>
  <c r="H33" i="2" s="1"/>
  <c r="L33" i="2" s="1"/>
  <c r="G34" i="2"/>
  <c r="G35" i="2"/>
  <c r="G36" i="2"/>
  <c r="H36" i="2" s="1"/>
  <c r="L36" i="2" s="1"/>
  <c r="G37" i="2"/>
  <c r="G38" i="2"/>
  <c r="G39" i="2"/>
  <c r="G40" i="2"/>
  <c r="H40" i="2" s="1"/>
  <c r="L40" i="2" s="1"/>
  <c r="G41" i="2"/>
  <c r="G42" i="2"/>
  <c r="H42" i="2" s="1"/>
  <c r="L42" i="2" s="1"/>
  <c r="G43" i="2"/>
  <c r="H43" i="2" s="1"/>
  <c r="L43" i="2" s="1"/>
  <c r="G44" i="2"/>
  <c r="H44" i="2" s="1"/>
  <c r="L44" i="2" s="1"/>
  <c r="G45" i="2"/>
  <c r="G46" i="2"/>
  <c r="G47" i="2"/>
  <c r="G48" i="2"/>
  <c r="G49" i="2"/>
  <c r="G50" i="2"/>
  <c r="H50" i="2" s="1"/>
  <c r="L50" i="2" s="1"/>
  <c r="G51" i="2"/>
  <c r="H51" i="2" s="1"/>
  <c r="L51" i="2" s="1"/>
  <c r="G52" i="2"/>
  <c r="H52" i="2" s="1"/>
  <c r="L52" i="2" s="1"/>
  <c r="G53" i="2"/>
  <c r="G54" i="2"/>
  <c r="G55" i="2"/>
  <c r="G56" i="2"/>
  <c r="G57" i="2"/>
  <c r="H57" i="2" s="1"/>
  <c r="L57" i="2" s="1"/>
  <c r="G58" i="2"/>
  <c r="G59" i="2"/>
  <c r="G60" i="2"/>
  <c r="G61" i="2"/>
  <c r="G62" i="2"/>
  <c r="G63" i="2"/>
  <c r="G64" i="2"/>
  <c r="H64" i="2" s="1"/>
  <c r="L64" i="2" s="1"/>
  <c r="G4" i="2"/>
  <c r="H4" i="2" s="1"/>
  <c r="L4" i="2" s="1"/>
  <c r="L5" i="2"/>
  <c r="L7" i="2"/>
  <c r="L14" i="2"/>
  <c r="L15" i="2"/>
  <c r="L21" i="2"/>
  <c r="L23" i="2"/>
  <c r="L29" i="2"/>
  <c r="L30" i="2"/>
  <c r="L31" i="2"/>
  <c r="L38" i="2"/>
  <c r="L39" i="2"/>
  <c r="L45" i="2"/>
  <c r="L47" i="2"/>
  <c r="L53" i="2"/>
  <c r="L54" i="2"/>
  <c r="L62" i="2"/>
  <c r="L63" i="2"/>
  <c r="F5" i="2"/>
  <c r="H5" i="2"/>
  <c r="F6" i="2"/>
  <c r="F7" i="2"/>
  <c r="H7" i="2"/>
  <c r="F8" i="2"/>
  <c r="F9" i="2"/>
  <c r="F10" i="2"/>
  <c r="F11" i="2"/>
  <c r="F12" i="2"/>
  <c r="F13" i="2"/>
  <c r="H13" i="2"/>
  <c r="L13" i="2" s="1"/>
  <c r="F14" i="2"/>
  <c r="F15" i="2"/>
  <c r="H15" i="2"/>
  <c r="F16" i="2"/>
  <c r="F17" i="2"/>
  <c r="F18" i="2"/>
  <c r="F19" i="2"/>
  <c r="F20" i="2"/>
  <c r="F21" i="2"/>
  <c r="H21" i="2"/>
  <c r="F22" i="2"/>
  <c r="F23" i="2"/>
  <c r="H23" i="2"/>
  <c r="F24" i="2"/>
  <c r="F25" i="2"/>
  <c r="H25" i="2"/>
  <c r="L25" i="2" s="1"/>
  <c r="F26" i="2"/>
  <c r="F27" i="2"/>
  <c r="F28" i="2"/>
  <c r="F29" i="2"/>
  <c r="H29" i="2"/>
  <c r="F30" i="2"/>
  <c r="F31" i="2"/>
  <c r="H31" i="2"/>
  <c r="F32" i="2"/>
  <c r="F33" i="2"/>
  <c r="F34" i="2"/>
  <c r="F35" i="2"/>
  <c r="F36" i="2"/>
  <c r="F37" i="2"/>
  <c r="H37" i="2"/>
  <c r="L37" i="2" s="1"/>
  <c r="F38" i="2"/>
  <c r="F39" i="2"/>
  <c r="H39" i="2"/>
  <c r="F40" i="2"/>
  <c r="F41" i="2"/>
  <c r="H41" i="2"/>
  <c r="L41" i="2" s="1"/>
  <c r="F42" i="2"/>
  <c r="F43" i="2"/>
  <c r="F44" i="2"/>
  <c r="F45" i="2"/>
  <c r="H45" i="2"/>
  <c r="F46" i="2"/>
  <c r="F47" i="2"/>
  <c r="H47" i="2"/>
  <c r="F48" i="2"/>
  <c r="F49" i="2"/>
  <c r="H49" i="2"/>
  <c r="L49" i="2" s="1"/>
  <c r="F50" i="2"/>
  <c r="F51" i="2"/>
  <c r="F52" i="2"/>
  <c r="F53" i="2"/>
  <c r="H53" i="2"/>
  <c r="F54" i="2"/>
  <c r="F55" i="2"/>
  <c r="H55" i="2"/>
  <c r="L55" i="2" s="1"/>
  <c r="F56" i="2"/>
  <c r="F57" i="2"/>
  <c r="F58" i="2"/>
  <c r="F59" i="2"/>
  <c r="F60" i="2"/>
  <c r="F61" i="2"/>
  <c r="H61" i="2"/>
  <c r="L61" i="2" s="1"/>
  <c r="F62" i="2"/>
  <c r="F63" i="2"/>
  <c r="H63" i="2"/>
  <c r="F64" i="2"/>
  <c r="F4" i="2"/>
  <c r="H6" i="2"/>
  <c r="L6" i="2" s="1"/>
  <c r="H8" i="2"/>
  <c r="L8" i="2" s="1"/>
  <c r="H10" i="2"/>
  <c r="L10" i="2" s="1"/>
  <c r="H14" i="2"/>
  <c r="H16" i="2"/>
  <c r="L16" i="2" s="1"/>
  <c r="H19" i="2"/>
  <c r="L19" i="2" s="1"/>
  <c r="H22" i="2"/>
  <c r="L22" i="2" s="1"/>
  <c r="H30" i="2"/>
  <c r="H32" i="2"/>
  <c r="L32" i="2" s="1"/>
  <c r="H34" i="2"/>
  <c r="L34" i="2" s="1"/>
  <c r="H35" i="2"/>
  <c r="L35" i="2" s="1"/>
  <c r="H38" i="2"/>
  <c r="H46" i="2"/>
  <c r="L46" i="2" s="1"/>
  <c r="H48" i="2"/>
  <c r="L48" i="2" s="1"/>
  <c r="H54" i="2"/>
  <c r="H56" i="2"/>
  <c r="L56" i="2" s="1"/>
  <c r="H58" i="2"/>
  <c r="L58" i="2" s="1"/>
  <c r="H59" i="2"/>
  <c r="L59" i="2" s="1"/>
  <c r="H60" i="2"/>
  <c r="L60" i="2" s="1"/>
  <c r="H62" i="2"/>
  <c r="I5" i="2" l="1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4" i="2"/>
  <c r="J5" i="2" l="1"/>
  <c r="K5" i="2"/>
  <c r="J6" i="2"/>
  <c r="K6" i="2"/>
  <c r="J7" i="2"/>
  <c r="K7" i="2"/>
  <c r="J8" i="2"/>
  <c r="K8" i="2"/>
  <c r="J9" i="2"/>
  <c r="K9" i="2"/>
  <c r="J10" i="2"/>
  <c r="K10" i="2"/>
  <c r="J11" i="2"/>
  <c r="K11" i="2"/>
  <c r="J12" i="2"/>
  <c r="K12" i="2"/>
  <c r="J13" i="2"/>
  <c r="K13" i="2"/>
  <c r="J14" i="2"/>
  <c r="K14" i="2"/>
  <c r="J15" i="2"/>
  <c r="K15" i="2"/>
  <c r="J16" i="2"/>
  <c r="K16" i="2"/>
  <c r="J17" i="2"/>
  <c r="K17" i="2"/>
  <c r="J18" i="2"/>
  <c r="K18" i="2"/>
  <c r="J19" i="2"/>
  <c r="K19" i="2"/>
  <c r="J20" i="2"/>
  <c r="K20" i="2"/>
  <c r="J21" i="2"/>
  <c r="K21" i="2"/>
  <c r="J22" i="2"/>
  <c r="K22" i="2"/>
  <c r="J23" i="2"/>
  <c r="K23" i="2"/>
  <c r="J24" i="2"/>
  <c r="K24" i="2"/>
  <c r="J25" i="2"/>
  <c r="K25" i="2"/>
  <c r="J26" i="2"/>
  <c r="K26" i="2"/>
  <c r="J27" i="2"/>
  <c r="K27" i="2"/>
  <c r="J28" i="2"/>
  <c r="K28" i="2"/>
  <c r="J29" i="2"/>
  <c r="K29" i="2"/>
  <c r="J30" i="2"/>
  <c r="K30" i="2"/>
  <c r="J31" i="2"/>
  <c r="K31" i="2"/>
  <c r="J32" i="2"/>
  <c r="K32" i="2"/>
  <c r="J33" i="2"/>
  <c r="K33" i="2"/>
  <c r="J34" i="2"/>
  <c r="K34" i="2"/>
  <c r="J35" i="2"/>
  <c r="K35" i="2"/>
  <c r="J36" i="2"/>
  <c r="K36" i="2"/>
  <c r="J37" i="2"/>
  <c r="K37" i="2"/>
  <c r="J38" i="2"/>
  <c r="K38" i="2"/>
  <c r="J39" i="2"/>
  <c r="K39" i="2"/>
  <c r="J40" i="2"/>
  <c r="K40" i="2"/>
  <c r="J41" i="2"/>
  <c r="K41" i="2"/>
  <c r="J42" i="2"/>
  <c r="K42" i="2"/>
  <c r="J43" i="2"/>
  <c r="K43" i="2"/>
  <c r="J44" i="2"/>
  <c r="K44" i="2"/>
  <c r="J45" i="2"/>
  <c r="K45" i="2"/>
  <c r="J46" i="2"/>
  <c r="K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K4" i="2"/>
  <c r="J4" i="2"/>
  <c r="E16" i="2"/>
  <c r="E18" i="2"/>
  <c r="E20" i="2"/>
  <c r="E26" i="2"/>
  <c r="E27" i="2"/>
  <c r="E28" i="2"/>
  <c r="E32" i="2"/>
  <c r="E34" i="2"/>
  <c r="E40" i="2"/>
  <c r="E42" i="2"/>
  <c r="E43" i="2"/>
  <c r="E48" i="2"/>
  <c r="E52" i="2"/>
  <c r="E56" i="2"/>
  <c r="E59" i="2"/>
  <c r="C5" i="2"/>
  <c r="D5" i="2" s="1"/>
  <c r="C6" i="2"/>
  <c r="E6" i="2" s="1"/>
  <c r="C7" i="2"/>
  <c r="E7" i="2" s="1"/>
  <c r="C8" i="2"/>
  <c r="D8" i="2" s="1"/>
  <c r="C9" i="2"/>
  <c r="D9" i="2" s="1"/>
  <c r="C10" i="2"/>
  <c r="D10" i="2" s="1"/>
  <c r="C11" i="2"/>
  <c r="E11" i="2" s="1"/>
  <c r="C12" i="2"/>
  <c r="D12" i="2" s="1"/>
  <c r="C13" i="2"/>
  <c r="E13" i="2" s="1"/>
  <c r="C14" i="2"/>
  <c r="D14" i="2" s="1"/>
  <c r="C15" i="2"/>
  <c r="D15" i="2" s="1"/>
  <c r="C16" i="2"/>
  <c r="C17" i="2"/>
  <c r="D17" i="2" s="1"/>
  <c r="C18" i="2"/>
  <c r="D18" i="2" s="1"/>
  <c r="C19" i="2"/>
  <c r="E19" i="2" s="1"/>
  <c r="C20" i="2"/>
  <c r="D20" i="2" s="1"/>
  <c r="C21" i="2"/>
  <c r="E21" i="2" s="1"/>
  <c r="C22" i="2"/>
  <c r="E22" i="2" s="1"/>
  <c r="C23" i="2"/>
  <c r="D23" i="2" s="1"/>
  <c r="C24" i="2"/>
  <c r="D24" i="2" s="1"/>
  <c r="C25" i="2"/>
  <c r="E25" i="2" s="1"/>
  <c r="C26" i="2"/>
  <c r="D26" i="2" s="1"/>
  <c r="C27" i="2"/>
  <c r="C28" i="2"/>
  <c r="C29" i="2"/>
  <c r="D29" i="2" s="1"/>
  <c r="C30" i="2"/>
  <c r="D30" i="2" s="1"/>
  <c r="C31" i="2"/>
  <c r="D31" i="2" s="1"/>
  <c r="C32" i="2"/>
  <c r="D32" i="2" s="1"/>
  <c r="C33" i="2"/>
  <c r="D33" i="2" s="1"/>
  <c r="C34" i="2"/>
  <c r="D34" i="2" s="1"/>
  <c r="C35" i="2"/>
  <c r="D35" i="2" s="1"/>
  <c r="C36" i="2"/>
  <c r="D36" i="2" s="1"/>
  <c r="C37" i="2"/>
  <c r="D37" i="2" s="1"/>
  <c r="C38" i="2"/>
  <c r="D38" i="2" s="1"/>
  <c r="C39" i="2"/>
  <c r="D39" i="2" s="1"/>
  <c r="C40" i="2"/>
  <c r="C41" i="2"/>
  <c r="E41" i="2" s="1"/>
  <c r="C42" i="2"/>
  <c r="D42" i="2" s="1"/>
  <c r="C43" i="2"/>
  <c r="C44" i="2"/>
  <c r="E44" i="2" s="1"/>
  <c r="C45" i="2"/>
  <c r="D45" i="2" s="1"/>
  <c r="C46" i="2"/>
  <c r="D46" i="2" s="1"/>
  <c r="C47" i="2"/>
  <c r="D47" i="2" s="1"/>
  <c r="C48" i="2"/>
  <c r="D48" i="2" s="1"/>
  <c r="C49" i="2"/>
  <c r="D49" i="2" s="1"/>
  <c r="C50" i="2"/>
  <c r="D50" i="2" s="1"/>
  <c r="C51" i="2"/>
  <c r="E51" i="2" s="1"/>
  <c r="C52" i="2"/>
  <c r="D52" i="2" s="1"/>
  <c r="C53" i="2"/>
  <c r="E53" i="2" s="1"/>
  <c r="C54" i="2"/>
  <c r="D54" i="2" s="1"/>
  <c r="C55" i="2"/>
  <c r="D55" i="2" s="1"/>
  <c r="C56" i="2"/>
  <c r="C57" i="2"/>
  <c r="D57" i="2" s="1"/>
  <c r="C58" i="2"/>
  <c r="D58" i="2" s="1"/>
  <c r="C59" i="2"/>
  <c r="D59" i="2" s="1"/>
  <c r="C60" i="2"/>
  <c r="D60" i="2" s="1"/>
  <c r="C61" i="2"/>
  <c r="D61" i="2" s="1"/>
  <c r="C62" i="2"/>
  <c r="E62" i="2" s="1"/>
  <c r="C63" i="2"/>
  <c r="D63" i="2" s="1"/>
  <c r="C64" i="2"/>
  <c r="D64" i="2" s="1"/>
  <c r="C4" i="2"/>
  <c r="D4" i="2" s="1"/>
  <c r="D56" i="2"/>
  <c r="D51" i="2"/>
  <c r="D44" i="2"/>
  <c r="D43" i="2"/>
  <c r="D40" i="2"/>
  <c r="D28" i="2"/>
  <c r="D27" i="2"/>
  <c r="D19" i="2"/>
  <c r="D16" i="2"/>
  <c r="D13" i="2"/>
  <c r="D11" i="2"/>
  <c r="D7" i="2"/>
  <c r="D41" i="2" l="1"/>
  <c r="E4" i="2"/>
  <c r="E12" i="2"/>
  <c r="E17" i="2"/>
  <c r="D22" i="2"/>
  <c r="D25" i="2"/>
  <c r="E64" i="2"/>
  <c r="E50" i="2"/>
  <c r="E36" i="2"/>
  <c r="E60" i="2"/>
  <c r="E49" i="2"/>
  <c r="E35" i="2"/>
  <c r="E24" i="2"/>
  <c r="E10" i="2"/>
  <c r="E9" i="2"/>
  <c r="E58" i="2"/>
  <c r="E33" i="2"/>
  <c r="E8" i="2"/>
  <c r="E57" i="2"/>
  <c r="E63" i="2"/>
  <c r="E55" i="2"/>
  <c r="E47" i="2"/>
  <c r="E39" i="2"/>
  <c r="E31" i="2"/>
  <c r="E23" i="2"/>
  <c r="E15" i="2"/>
  <c r="D62" i="2"/>
  <c r="D6" i="2"/>
  <c r="D53" i="2"/>
  <c r="E54" i="2"/>
  <c r="E46" i="2"/>
  <c r="E38" i="2"/>
  <c r="E30" i="2"/>
  <c r="E14" i="2"/>
  <c r="D21" i="2"/>
  <c r="E61" i="2"/>
  <c r="E45" i="2"/>
  <c r="E37" i="2"/>
  <c r="E29" i="2"/>
  <c r="E5" i="2"/>
</calcChain>
</file>

<file path=xl/comments1.xml><?xml version="1.0" encoding="utf-8"?>
<comments xmlns="http://schemas.openxmlformats.org/spreadsheetml/2006/main">
  <authors>
    <author>Takayuki Hara</author>
  </authors>
  <commentList>
    <comment ref="C3" authorId="0" shapeId="0">
      <text>
        <r>
          <rPr>
            <b/>
            <sz val="9"/>
            <color indexed="81"/>
            <rFont val="ＭＳ Ｐゴシック"/>
            <family val="3"/>
            <charset val="128"/>
          </rPr>
          <t>中央→左→中央→右→中央→左→中央
と、左右に振りたいので、1.5周する。</t>
        </r>
        <r>
          <rPr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H3" authorId="0" shapeId="0">
      <text>
        <r>
          <rPr>
            <sz val="9"/>
            <color indexed="81"/>
            <rFont val="ＭＳ Ｐゴシック"/>
            <family val="3"/>
            <charset val="128"/>
          </rPr>
          <t xml:space="preserve">中心 X 座標
</t>
        </r>
      </text>
    </comment>
  </commentList>
</comments>
</file>

<file path=xl/sharedStrings.xml><?xml version="1.0" encoding="utf-8"?>
<sst xmlns="http://schemas.openxmlformats.org/spreadsheetml/2006/main" count="46" uniqueCount="31">
  <si>
    <t>Frame</t>
    <phoneticPr fontId="1"/>
  </si>
  <si>
    <t>θ</t>
    <phoneticPr fontId="1"/>
  </si>
  <si>
    <t>sinθ</t>
    <phoneticPr fontId="1"/>
  </si>
  <si>
    <t>sin( (sinθ)*π/3 )</t>
    <phoneticPr fontId="1"/>
  </si>
  <si>
    <t>Frame+10</t>
    <phoneticPr fontId="1"/>
  </si>
  <si>
    <t>(sinθ)*π/6</t>
    <phoneticPr fontId="1"/>
  </si>
  <si>
    <t>sin( sinθ * π/6 )</t>
    <phoneticPr fontId="1"/>
  </si>
  <si>
    <t>cos( sinθ * π/6 )</t>
    <phoneticPr fontId="1"/>
  </si>
  <si>
    <t>VX</t>
    <phoneticPr fontId="1"/>
  </si>
  <si>
    <t>VY</t>
    <phoneticPr fontId="1"/>
  </si>
  <si>
    <t>変倍率</t>
    <rPh sb="0" eb="2">
      <t>ヘンバイ</t>
    </rPh>
    <rPh sb="2" eb="3">
      <t>リツ</t>
    </rPh>
    <phoneticPr fontId="1"/>
  </si>
  <si>
    <t>SX</t>
    <phoneticPr fontId="1"/>
  </si>
  <si>
    <t>SY</t>
    <phoneticPr fontId="1"/>
  </si>
  <si>
    <t>cosθ</t>
    <phoneticPr fontId="1"/>
  </si>
  <si>
    <t>422x80</t>
    <phoneticPr fontId="1"/>
  </si>
  <si>
    <t>SY*2</t>
    <phoneticPr fontId="1"/>
  </si>
  <si>
    <t>SY</t>
    <phoneticPr fontId="1"/>
  </si>
  <si>
    <t>(sinθ) *π/3</t>
    <phoneticPr fontId="1"/>
  </si>
  <si>
    <t>256+F*G</t>
    <phoneticPr fontId="1"/>
  </si>
  <si>
    <t>左右の揺れ (平行移動成分）</t>
    <rPh sb="0" eb="2">
      <t>サユウ</t>
    </rPh>
    <rPh sb="3" eb="4">
      <t>ユ</t>
    </rPh>
    <rPh sb="7" eb="9">
      <t>ヘイコウ</t>
    </rPh>
    <rPh sb="9" eb="11">
      <t>イドウ</t>
    </rPh>
    <rPh sb="11" eb="13">
      <t>セイブン</t>
    </rPh>
    <phoneticPr fontId="1"/>
  </si>
  <si>
    <t>X座標</t>
    <rPh sb="1" eb="3">
      <t>ザヒョウ</t>
    </rPh>
    <phoneticPr fontId="1"/>
  </si>
  <si>
    <t>Y座標</t>
    <rPh sb="1" eb="3">
      <t>ザヒョウ</t>
    </rPh>
    <phoneticPr fontId="1"/>
  </si>
  <si>
    <t>出力枠上の回転中心座標</t>
    <rPh sb="0" eb="2">
      <t>シュツリョク</t>
    </rPh>
    <rPh sb="2" eb="3">
      <t>ワク</t>
    </rPh>
    <rPh sb="3" eb="4">
      <t>ジョウ</t>
    </rPh>
    <rPh sb="5" eb="7">
      <t>カイテン</t>
    </rPh>
    <rPh sb="7" eb="9">
      <t>チュウシン</t>
    </rPh>
    <rPh sb="9" eb="11">
      <t>ザヒョウ</t>
    </rPh>
    <phoneticPr fontId="1"/>
  </si>
  <si>
    <t>回転角</t>
    <rPh sb="0" eb="3">
      <t>カイテンカク</t>
    </rPh>
    <phoneticPr fontId="1"/>
  </si>
  <si>
    <t>中心からロゴ左へ走査</t>
    <rPh sb="0" eb="2">
      <t>チュウシン</t>
    </rPh>
    <rPh sb="6" eb="7">
      <t>ヒダリ</t>
    </rPh>
    <rPh sb="8" eb="10">
      <t>ソウサ</t>
    </rPh>
    <phoneticPr fontId="1"/>
  </si>
  <si>
    <t>回転ベクトル (VX,VY)</t>
    <rPh sb="0" eb="2">
      <t>カイテン</t>
    </rPh>
    <phoneticPr fontId="1"/>
  </si>
  <si>
    <t>回転ベクトルの法線ベクトル (-VY,VX)</t>
    <rPh sb="0" eb="2">
      <t>カイテン</t>
    </rPh>
    <rPh sb="7" eb="9">
      <t>ホウセン</t>
    </rPh>
    <phoneticPr fontId="1"/>
  </si>
  <si>
    <t>さらに上へ</t>
    <rPh sb="3" eb="4">
      <t>ウエ</t>
    </rPh>
    <phoneticPr fontId="1"/>
  </si>
  <si>
    <r>
      <rPr>
        <sz val="11"/>
        <color theme="1"/>
        <rFont val="ＭＳ Ｐゴシック"/>
        <family val="2"/>
        <charset val="128"/>
        <scheme val="minor"/>
      </rPr>
      <t>=(10+B4)/70</t>
    </r>
    <phoneticPr fontId="1"/>
  </si>
  <si>
    <t>=INT(H4)</t>
    <phoneticPr fontId="1"/>
  </si>
  <si>
    <t>-sin( sinθ * π/6 )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</si>
</sst>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quotePrefix="1" applyFont="1">
      <alignment vertical="center"/>
    </xf>
    <xf numFmtId="0" fontId="0" fillId="0" borderId="0" xfId="0" quotePrefix="1">
      <alignment vertical="center"/>
    </xf>
    <xf numFmtId="0" fontId="2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X64"/>
  <sheetViews>
    <sheetView tabSelected="1" topLeftCell="H1" zoomScale="85" zoomScaleNormal="85" workbookViewId="0">
      <selection activeCell="R4" sqref="R4"/>
    </sheetView>
  </sheetViews>
  <sheetFormatPr defaultRowHeight="13.5" x14ac:dyDescent="0.15"/>
  <cols>
    <col min="5" max="5" width="13.625" customWidth="1"/>
    <col min="6" max="6" width="17.25" bestFit="1" customWidth="1"/>
    <col min="9" max="9" width="12.375" bestFit="1" customWidth="1"/>
    <col min="10" max="10" width="12.375" customWidth="1"/>
    <col min="11" max="11" width="13.875" bestFit="1" customWidth="1"/>
    <col min="12" max="12" width="17.875" customWidth="1"/>
    <col min="13" max="13" width="17.25" bestFit="1" customWidth="1"/>
    <col min="14" max="15" width="17.25" customWidth="1"/>
    <col min="16" max="16" width="12.75" bestFit="1" customWidth="1"/>
    <col min="17" max="20" width="12.75" customWidth="1"/>
  </cols>
  <sheetData>
    <row r="1" spans="2:24" x14ac:dyDescent="0.15">
      <c r="I1" s="4" t="s">
        <v>29</v>
      </c>
    </row>
    <row r="2" spans="2:24" x14ac:dyDescent="0.15">
      <c r="C2" s="5" t="s">
        <v>19</v>
      </c>
      <c r="D2" s="5"/>
      <c r="E2" s="5"/>
      <c r="F2" s="5"/>
      <c r="G2" s="5"/>
      <c r="H2" s="5"/>
      <c r="I2" s="5" t="s">
        <v>22</v>
      </c>
      <c r="J2" s="5"/>
      <c r="K2" s="1" t="s">
        <v>23</v>
      </c>
      <c r="L2" s="5" t="s">
        <v>25</v>
      </c>
      <c r="M2" s="5"/>
      <c r="N2" s="5" t="s">
        <v>26</v>
      </c>
      <c r="O2" s="5"/>
      <c r="P2" s="3" t="s">
        <v>28</v>
      </c>
      <c r="Q2" s="5" t="s">
        <v>24</v>
      </c>
      <c r="R2" s="5"/>
      <c r="S2" s="5" t="s">
        <v>27</v>
      </c>
      <c r="T2" s="5"/>
    </row>
    <row r="3" spans="2:24" x14ac:dyDescent="0.15">
      <c r="B3" t="s">
        <v>0</v>
      </c>
      <c r="C3" t="s">
        <v>1</v>
      </c>
      <c r="D3" t="s">
        <v>2</v>
      </c>
      <c r="E3" t="s">
        <v>17</v>
      </c>
      <c r="F3" t="s">
        <v>3</v>
      </c>
      <c r="G3" t="s">
        <v>4</v>
      </c>
      <c r="H3" t="s">
        <v>18</v>
      </c>
      <c r="I3" s="2" t="s">
        <v>20</v>
      </c>
      <c r="J3" s="2" t="s">
        <v>21</v>
      </c>
      <c r="K3" t="s">
        <v>5</v>
      </c>
      <c r="L3" t="s">
        <v>7</v>
      </c>
      <c r="M3" t="s">
        <v>6</v>
      </c>
      <c r="N3" s="4" t="s">
        <v>30</v>
      </c>
      <c r="O3" t="s">
        <v>7</v>
      </c>
      <c r="P3" t="s">
        <v>10</v>
      </c>
      <c r="Q3" s="2" t="s">
        <v>20</v>
      </c>
      <c r="R3" s="2" t="s">
        <v>21</v>
      </c>
      <c r="S3" s="2" t="s">
        <v>20</v>
      </c>
      <c r="T3" s="2" t="s">
        <v>21</v>
      </c>
      <c r="U3" t="s">
        <v>8</v>
      </c>
      <c r="V3" t="s">
        <v>9</v>
      </c>
      <c r="W3" t="s">
        <v>11</v>
      </c>
      <c r="X3" t="s">
        <v>12</v>
      </c>
    </row>
    <row r="4" spans="2:24" x14ac:dyDescent="0.15">
      <c r="B4">
        <v>0</v>
      </c>
      <c r="C4">
        <f>B4/60*1.5*(2*PI())</f>
        <v>0</v>
      </c>
      <c r="D4">
        <f>SIN(C4)</f>
        <v>0</v>
      </c>
      <c r="E4">
        <f>D4*PI()/3</f>
        <v>0</v>
      </c>
      <c r="F4">
        <f>SIN(E4)</f>
        <v>0</v>
      </c>
      <c r="G4">
        <f>B4*20+10</f>
        <v>10</v>
      </c>
      <c r="H4">
        <f>256+F4*G4</f>
        <v>256</v>
      </c>
      <c r="I4">
        <v>211</v>
      </c>
      <c r="J4">
        <v>80</v>
      </c>
      <c r="K4">
        <f t="shared" ref="K4:K64" si="0">D4*PI()/6</f>
        <v>0</v>
      </c>
      <c r="L4">
        <f>INT(COS(K4)*256)</f>
        <v>256</v>
      </c>
      <c r="M4">
        <f>INT(SIN(K4)*256)</f>
        <v>0</v>
      </c>
      <c r="N4">
        <f>-M4</f>
        <v>0</v>
      </c>
      <c r="O4">
        <f>L4</f>
        <v>256</v>
      </c>
      <c r="P4">
        <v>1</v>
      </c>
      <c r="Q4">
        <f>256*256-I4*L4/P4</f>
        <v>11520</v>
      </c>
      <c r="R4">
        <f>80*256-J4*N4/P4</f>
        <v>20480</v>
      </c>
      <c r="S4">
        <f>Q4-N4*80/P4</f>
        <v>11520</v>
      </c>
      <c r="T4">
        <f>R4-O4*80/P4</f>
        <v>0</v>
      </c>
      <c r="U4">
        <f>INT(L4/P4)</f>
        <v>256</v>
      </c>
      <c r="V4">
        <f>INT(M4/P4)</f>
        <v>0</v>
      </c>
      <c r="W4">
        <f>INT(S4/256)</f>
        <v>45</v>
      </c>
      <c r="X4">
        <f>INT(T4/256/2)+192</f>
        <v>192</v>
      </c>
    </row>
    <row r="5" spans="2:24" x14ac:dyDescent="0.15">
      <c r="B5">
        <v>1</v>
      </c>
      <c r="C5">
        <f t="shared" ref="C5:C64" si="1">B5/60*1.5*(2*PI())</f>
        <v>0.15707963267948966</v>
      </c>
      <c r="D5">
        <f t="shared" ref="D5:D64" si="2">SIN(C5)</f>
        <v>0.15643446504023087</v>
      </c>
      <c r="E5">
        <f t="shared" ref="E5:E64" si="3">D5*PI()/3</f>
        <v>0.16381778871287953</v>
      </c>
      <c r="F5">
        <f t="shared" ref="F5:F64" si="4">SIN(E5)</f>
        <v>0.16308606156716085</v>
      </c>
      <c r="G5">
        <f t="shared" ref="G5:G64" si="5">B5*20+10</f>
        <v>30</v>
      </c>
      <c r="H5">
        <f t="shared" ref="H5:H64" si="6">256+F5*G5</f>
        <v>260.89258184701481</v>
      </c>
      <c r="I5">
        <v>211</v>
      </c>
      <c r="J5">
        <v>80</v>
      </c>
      <c r="K5">
        <f t="shared" si="0"/>
        <v>8.1908894356439763E-2</v>
      </c>
      <c r="L5">
        <f t="shared" ref="L5:L64" si="7">INT(COS(K5)*256)</f>
        <v>255</v>
      </c>
      <c r="M5">
        <f t="shared" ref="M5:M64" si="8">INT(SIN(K5)*256)</f>
        <v>20</v>
      </c>
      <c r="N5">
        <f t="shared" ref="N5:N64" si="9">-M5</f>
        <v>-20</v>
      </c>
      <c r="O5">
        <f t="shared" ref="O5:O64" si="10">L5</f>
        <v>255</v>
      </c>
      <c r="P5">
        <v>1</v>
      </c>
      <c r="Q5">
        <f t="shared" ref="Q5:Q64" si="11">256*256-I5*L5/P5</f>
        <v>11731</v>
      </c>
      <c r="R5">
        <f t="shared" ref="R5:R64" si="12">80*256-J5*N5/P5</f>
        <v>22080</v>
      </c>
      <c r="S5">
        <f t="shared" ref="S5:S64" si="13">Q5-N5*80/P5</f>
        <v>13331</v>
      </c>
      <c r="T5">
        <f t="shared" ref="T5:T64" si="14">R5-O5*80/P5</f>
        <v>1680</v>
      </c>
      <c r="U5">
        <f t="shared" ref="U5:U64" si="15">INT(L5/P5)</f>
        <v>255</v>
      </c>
      <c r="V5">
        <f t="shared" ref="V5:V64" si="16">INT(M5/P5)</f>
        <v>20</v>
      </c>
      <c r="W5">
        <f t="shared" ref="W5:W64" si="17">INT(S5/256)</f>
        <v>52</v>
      </c>
      <c r="X5">
        <f t="shared" ref="X5:X64" si="18">INT(T5/256/2)+192</f>
        <v>195</v>
      </c>
    </row>
    <row r="6" spans="2:24" x14ac:dyDescent="0.15">
      <c r="B6">
        <v>2</v>
      </c>
      <c r="C6">
        <f t="shared" si="1"/>
        <v>0.31415926535897931</v>
      </c>
      <c r="D6">
        <f t="shared" si="2"/>
        <v>0.3090169943749474</v>
      </c>
      <c r="E6">
        <f t="shared" si="3"/>
        <v>0.32360183978757773</v>
      </c>
      <c r="F6">
        <f t="shared" si="4"/>
        <v>0.3179835066470853</v>
      </c>
      <c r="G6">
        <f t="shared" si="5"/>
        <v>50</v>
      </c>
      <c r="H6">
        <f t="shared" si="6"/>
        <v>271.89917533235428</v>
      </c>
      <c r="I6">
        <v>211</v>
      </c>
      <c r="J6">
        <v>80</v>
      </c>
      <c r="K6">
        <f t="shared" si="0"/>
        <v>0.16180091989378886</v>
      </c>
      <c r="L6">
        <f t="shared" si="7"/>
        <v>252</v>
      </c>
      <c r="M6">
        <f t="shared" si="8"/>
        <v>41</v>
      </c>
      <c r="N6">
        <f t="shared" si="9"/>
        <v>-41</v>
      </c>
      <c r="O6">
        <f t="shared" si="10"/>
        <v>252</v>
      </c>
      <c r="P6">
        <v>1</v>
      </c>
      <c r="Q6">
        <f t="shared" si="11"/>
        <v>12364</v>
      </c>
      <c r="R6">
        <f t="shared" si="12"/>
        <v>23760</v>
      </c>
      <c r="S6">
        <f t="shared" si="13"/>
        <v>15644</v>
      </c>
      <c r="T6">
        <f t="shared" si="14"/>
        <v>3600</v>
      </c>
      <c r="U6">
        <f t="shared" si="15"/>
        <v>252</v>
      </c>
      <c r="V6">
        <f t="shared" si="16"/>
        <v>41</v>
      </c>
      <c r="W6">
        <f t="shared" si="17"/>
        <v>61</v>
      </c>
      <c r="X6">
        <f t="shared" si="18"/>
        <v>199</v>
      </c>
    </row>
    <row r="7" spans="2:24" x14ac:dyDescent="0.15">
      <c r="B7">
        <v>3</v>
      </c>
      <c r="C7">
        <f t="shared" si="1"/>
        <v>0.47123889803846902</v>
      </c>
      <c r="D7">
        <f t="shared" si="2"/>
        <v>0.4539904997395468</v>
      </c>
      <c r="E7">
        <f t="shared" si="3"/>
        <v>0.47541773959377304</v>
      </c>
      <c r="F7">
        <f t="shared" si="4"/>
        <v>0.45770990004419188</v>
      </c>
      <c r="G7">
        <f t="shared" si="5"/>
        <v>70</v>
      </c>
      <c r="H7">
        <f t="shared" si="6"/>
        <v>288.03969300309342</v>
      </c>
      <c r="I7">
        <v>211</v>
      </c>
      <c r="J7">
        <v>80</v>
      </c>
      <c r="K7">
        <f t="shared" si="0"/>
        <v>0.23770886979688652</v>
      </c>
      <c r="L7">
        <f t="shared" si="7"/>
        <v>248</v>
      </c>
      <c r="M7">
        <f t="shared" si="8"/>
        <v>60</v>
      </c>
      <c r="N7">
        <f t="shared" si="9"/>
        <v>-60</v>
      </c>
      <c r="O7">
        <f t="shared" si="10"/>
        <v>248</v>
      </c>
      <c r="P7">
        <v>1</v>
      </c>
      <c r="Q7">
        <f t="shared" si="11"/>
        <v>13208</v>
      </c>
      <c r="R7">
        <f t="shared" si="12"/>
        <v>25280</v>
      </c>
      <c r="S7">
        <f t="shared" si="13"/>
        <v>18008</v>
      </c>
      <c r="T7">
        <f t="shared" si="14"/>
        <v>5440</v>
      </c>
      <c r="U7">
        <f t="shared" si="15"/>
        <v>248</v>
      </c>
      <c r="V7">
        <f t="shared" si="16"/>
        <v>60</v>
      </c>
      <c r="W7">
        <f t="shared" si="17"/>
        <v>70</v>
      </c>
      <c r="X7">
        <f t="shared" si="18"/>
        <v>202</v>
      </c>
    </row>
    <row r="8" spans="2:24" x14ac:dyDescent="0.15">
      <c r="B8">
        <v>4</v>
      </c>
      <c r="C8">
        <f t="shared" si="1"/>
        <v>0.62831853071795862</v>
      </c>
      <c r="D8">
        <f t="shared" si="2"/>
        <v>0.58778525229247314</v>
      </c>
      <c r="E8">
        <f t="shared" si="3"/>
        <v>0.61552727683015218</v>
      </c>
      <c r="F8">
        <f t="shared" si="4"/>
        <v>0.57738910777622632</v>
      </c>
      <c r="G8">
        <f t="shared" si="5"/>
        <v>90</v>
      </c>
      <c r="H8">
        <f t="shared" si="6"/>
        <v>307.96501969986036</v>
      </c>
      <c r="I8">
        <v>211</v>
      </c>
      <c r="J8">
        <v>80</v>
      </c>
      <c r="K8">
        <f t="shared" si="0"/>
        <v>0.30776363841507609</v>
      </c>
      <c r="L8">
        <f t="shared" si="7"/>
        <v>243</v>
      </c>
      <c r="M8">
        <f t="shared" si="8"/>
        <v>77</v>
      </c>
      <c r="N8">
        <f t="shared" si="9"/>
        <v>-77</v>
      </c>
      <c r="O8">
        <f t="shared" si="10"/>
        <v>243</v>
      </c>
      <c r="P8">
        <v>1</v>
      </c>
      <c r="Q8">
        <f t="shared" si="11"/>
        <v>14263</v>
      </c>
      <c r="R8">
        <f t="shared" si="12"/>
        <v>26640</v>
      </c>
      <c r="S8">
        <f t="shared" si="13"/>
        <v>20423</v>
      </c>
      <c r="T8">
        <f t="shared" si="14"/>
        <v>7200</v>
      </c>
      <c r="U8">
        <f t="shared" si="15"/>
        <v>243</v>
      </c>
      <c r="V8">
        <f t="shared" si="16"/>
        <v>77</v>
      </c>
      <c r="W8">
        <f t="shared" si="17"/>
        <v>79</v>
      </c>
      <c r="X8">
        <f t="shared" si="18"/>
        <v>206</v>
      </c>
    </row>
    <row r="9" spans="2:24" x14ac:dyDescent="0.15">
      <c r="B9">
        <v>5</v>
      </c>
      <c r="C9">
        <f t="shared" si="1"/>
        <v>0.78539816339744828</v>
      </c>
      <c r="D9">
        <f t="shared" si="2"/>
        <v>0.70710678118654746</v>
      </c>
      <c r="E9">
        <f t="shared" si="3"/>
        <v>0.74048048969306102</v>
      </c>
      <c r="F9">
        <f t="shared" si="4"/>
        <v>0.67464266030907116</v>
      </c>
      <c r="G9">
        <f t="shared" si="5"/>
        <v>110</v>
      </c>
      <c r="H9">
        <f t="shared" si="6"/>
        <v>330.21069263399784</v>
      </c>
      <c r="I9">
        <v>211</v>
      </c>
      <c r="J9">
        <v>80</v>
      </c>
      <c r="K9">
        <f t="shared" si="0"/>
        <v>0.37024024484653051</v>
      </c>
      <c r="L9">
        <f t="shared" si="7"/>
        <v>238</v>
      </c>
      <c r="M9">
        <f t="shared" si="8"/>
        <v>92</v>
      </c>
      <c r="N9">
        <f t="shared" si="9"/>
        <v>-92</v>
      </c>
      <c r="O9">
        <f t="shared" si="10"/>
        <v>238</v>
      </c>
      <c r="P9">
        <v>1</v>
      </c>
      <c r="Q9">
        <f t="shared" si="11"/>
        <v>15318</v>
      </c>
      <c r="R9">
        <f t="shared" si="12"/>
        <v>27840</v>
      </c>
      <c r="S9">
        <f t="shared" si="13"/>
        <v>22678</v>
      </c>
      <c r="T9">
        <f t="shared" si="14"/>
        <v>8800</v>
      </c>
      <c r="U9">
        <f t="shared" si="15"/>
        <v>238</v>
      </c>
      <c r="V9">
        <f t="shared" si="16"/>
        <v>92</v>
      </c>
      <c r="W9">
        <f t="shared" si="17"/>
        <v>88</v>
      </c>
      <c r="X9">
        <f t="shared" si="18"/>
        <v>209</v>
      </c>
    </row>
    <row r="10" spans="2:24" x14ac:dyDescent="0.15">
      <c r="B10">
        <v>6</v>
      </c>
      <c r="C10">
        <f t="shared" si="1"/>
        <v>0.94247779607693805</v>
      </c>
      <c r="D10">
        <f t="shared" si="2"/>
        <v>0.80901699437494745</v>
      </c>
      <c r="E10">
        <f t="shared" si="3"/>
        <v>0.84720061538587654</v>
      </c>
      <c r="F10">
        <f t="shared" si="4"/>
        <v>0.7494299171662957</v>
      </c>
      <c r="G10">
        <f t="shared" si="5"/>
        <v>130</v>
      </c>
      <c r="H10">
        <f t="shared" si="6"/>
        <v>353.42588923161844</v>
      </c>
      <c r="I10">
        <v>211</v>
      </c>
      <c r="J10">
        <v>80</v>
      </c>
      <c r="K10">
        <f t="shared" si="0"/>
        <v>0.42360030769293827</v>
      </c>
      <c r="L10">
        <f t="shared" si="7"/>
        <v>233</v>
      </c>
      <c r="M10">
        <f t="shared" si="8"/>
        <v>105</v>
      </c>
      <c r="N10">
        <f t="shared" si="9"/>
        <v>-105</v>
      </c>
      <c r="O10">
        <f t="shared" si="10"/>
        <v>233</v>
      </c>
      <c r="P10">
        <v>1</v>
      </c>
      <c r="Q10">
        <f t="shared" si="11"/>
        <v>16373</v>
      </c>
      <c r="R10">
        <f t="shared" si="12"/>
        <v>28880</v>
      </c>
      <c r="S10">
        <f t="shared" si="13"/>
        <v>24773</v>
      </c>
      <c r="T10">
        <f t="shared" si="14"/>
        <v>10240</v>
      </c>
      <c r="U10">
        <f t="shared" si="15"/>
        <v>233</v>
      </c>
      <c r="V10">
        <f t="shared" si="16"/>
        <v>105</v>
      </c>
      <c r="W10">
        <f t="shared" si="17"/>
        <v>96</v>
      </c>
      <c r="X10">
        <f t="shared" si="18"/>
        <v>212</v>
      </c>
    </row>
    <row r="11" spans="2:24" x14ac:dyDescent="0.15">
      <c r="B11">
        <v>7</v>
      </c>
      <c r="C11">
        <f t="shared" si="1"/>
        <v>1.0995574287564276</v>
      </c>
      <c r="D11">
        <f t="shared" si="2"/>
        <v>0.89100652418836779</v>
      </c>
      <c r="E11">
        <f t="shared" si="3"/>
        <v>0.93305985023025084</v>
      </c>
      <c r="F11">
        <f t="shared" si="4"/>
        <v>0.80344546782369175</v>
      </c>
      <c r="G11">
        <f t="shared" si="5"/>
        <v>150</v>
      </c>
      <c r="H11">
        <f t="shared" si="6"/>
        <v>376.51682017355375</v>
      </c>
      <c r="I11">
        <v>211</v>
      </c>
      <c r="J11">
        <v>80</v>
      </c>
      <c r="K11">
        <f t="shared" si="0"/>
        <v>0.46652992511512542</v>
      </c>
      <c r="L11">
        <f t="shared" si="7"/>
        <v>228</v>
      </c>
      <c r="M11">
        <f t="shared" si="8"/>
        <v>115</v>
      </c>
      <c r="N11">
        <f t="shared" si="9"/>
        <v>-115</v>
      </c>
      <c r="O11">
        <f t="shared" si="10"/>
        <v>228</v>
      </c>
      <c r="P11">
        <v>1</v>
      </c>
      <c r="Q11">
        <f t="shared" si="11"/>
        <v>17428</v>
      </c>
      <c r="R11">
        <f t="shared" si="12"/>
        <v>29680</v>
      </c>
      <c r="S11">
        <f t="shared" si="13"/>
        <v>26628</v>
      </c>
      <c r="T11">
        <f t="shared" si="14"/>
        <v>11440</v>
      </c>
      <c r="U11">
        <f t="shared" si="15"/>
        <v>228</v>
      </c>
      <c r="V11">
        <f t="shared" si="16"/>
        <v>115</v>
      </c>
      <c r="W11">
        <f t="shared" si="17"/>
        <v>104</v>
      </c>
      <c r="X11">
        <f t="shared" si="18"/>
        <v>214</v>
      </c>
    </row>
    <row r="12" spans="2:24" x14ac:dyDescent="0.15">
      <c r="B12">
        <v>8</v>
      </c>
      <c r="C12">
        <f t="shared" si="1"/>
        <v>1.2566370614359172</v>
      </c>
      <c r="D12">
        <f t="shared" si="2"/>
        <v>0.95105651629515353</v>
      </c>
      <c r="E12">
        <f t="shared" si="3"/>
        <v>0.99594405491385185</v>
      </c>
      <c r="F12">
        <f t="shared" si="4"/>
        <v>0.83927263295391474</v>
      </c>
      <c r="G12">
        <f t="shared" si="5"/>
        <v>170</v>
      </c>
      <c r="H12">
        <f t="shared" si="6"/>
        <v>398.67634760216549</v>
      </c>
      <c r="I12">
        <v>211</v>
      </c>
      <c r="J12">
        <v>80</v>
      </c>
      <c r="K12">
        <f t="shared" si="0"/>
        <v>0.49797202745692593</v>
      </c>
      <c r="L12">
        <f t="shared" si="7"/>
        <v>224</v>
      </c>
      <c r="M12">
        <f t="shared" si="8"/>
        <v>122</v>
      </c>
      <c r="N12">
        <f t="shared" si="9"/>
        <v>-122</v>
      </c>
      <c r="O12">
        <f t="shared" si="10"/>
        <v>224</v>
      </c>
      <c r="P12">
        <v>1</v>
      </c>
      <c r="Q12">
        <f t="shared" si="11"/>
        <v>18272</v>
      </c>
      <c r="R12">
        <f t="shared" si="12"/>
        <v>30240</v>
      </c>
      <c r="S12">
        <f t="shared" si="13"/>
        <v>28032</v>
      </c>
      <c r="T12">
        <f t="shared" si="14"/>
        <v>12320</v>
      </c>
      <c r="U12">
        <f t="shared" si="15"/>
        <v>224</v>
      </c>
      <c r="V12">
        <f t="shared" si="16"/>
        <v>122</v>
      </c>
      <c r="W12">
        <f t="shared" si="17"/>
        <v>109</v>
      </c>
      <c r="X12">
        <f t="shared" si="18"/>
        <v>216</v>
      </c>
    </row>
    <row r="13" spans="2:24" x14ac:dyDescent="0.15">
      <c r="B13">
        <v>9</v>
      </c>
      <c r="C13">
        <f t="shared" si="1"/>
        <v>1.4137166941154067</v>
      </c>
      <c r="D13">
        <f t="shared" si="2"/>
        <v>0.98768834059513766</v>
      </c>
      <c r="E13">
        <f t="shared" si="3"/>
        <v>1.0343048116166593</v>
      </c>
      <c r="F13">
        <f t="shared" si="4"/>
        <v>0.85950723702374798</v>
      </c>
      <c r="G13">
        <f t="shared" si="5"/>
        <v>190</v>
      </c>
      <c r="H13">
        <f t="shared" si="6"/>
        <v>419.30637503451214</v>
      </c>
      <c r="I13">
        <v>211</v>
      </c>
      <c r="J13">
        <v>80</v>
      </c>
      <c r="K13">
        <f t="shared" si="0"/>
        <v>0.51715240580832966</v>
      </c>
      <c r="L13">
        <f t="shared" si="7"/>
        <v>222</v>
      </c>
      <c r="M13">
        <f t="shared" si="8"/>
        <v>126</v>
      </c>
      <c r="N13">
        <f t="shared" si="9"/>
        <v>-126</v>
      </c>
      <c r="O13">
        <f t="shared" si="10"/>
        <v>222</v>
      </c>
      <c r="P13">
        <v>1</v>
      </c>
      <c r="Q13">
        <f t="shared" si="11"/>
        <v>18694</v>
      </c>
      <c r="R13">
        <f t="shared" si="12"/>
        <v>30560</v>
      </c>
      <c r="S13">
        <f t="shared" si="13"/>
        <v>28774</v>
      </c>
      <c r="T13">
        <f t="shared" si="14"/>
        <v>12800</v>
      </c>
      <c r="U13">
        <f t="shared" si="15"/>
        <v>222</v>
      </c>
      <c r="V13">
        <f t="shared" si="16"/>
        <v>126</v>
      </c>
      <c r="W13">
        <f t="shared" si="17"/>
        <v>112</v>
      </c>
      <c r="X13">
        <f t="shared" si="18"/>
        <v>217</v>
      </c>
    </row>
    <row r="14" spans="2:24" x14ac:dyDescent="0.15">
      <c r="B14">
        <v>10</v>
      </c>
      <c r="C14">
        <f t="shared" si="1"/>
        <v>1.5707963267948966</v>
      </c>
      <c r="D14">
        <f t="shared" si="2"/>
        <v>1</v>
      </c>
      <c r="E14">
        <f t="shared" si="3"/>
        <v>1.0471975511965976</v>
      </c>
      <c r="F14">
        <f t="shared" si="4"/>
        <v>0.8660254037844386</v>
      </c>
      <c r="G14">
        <f t="shared" si="5"/>
        <v>210</v>
      </c>
      <c r="H14">
        <f t="shared" si="6"/>
        <v>437.86533479473212</v>
      </c>
      <c r="I14">
        <v>211</v>
      </c>
      <c r="J14">
        <v>80</v>
      </c>
      <c r="K14">
        <f t="shared" si="0"/>
        <v>0.52359877559829882</v>
      </c>
      <c r="L14">
        <f t="shared" si="7"/>
        <v>221</v>
      </c>
      <c r="M14">
        <f t="shared" si="8"/>
        <v>128</v>
      </c>
      <c r="N14">
        <f t="shared" si="9"/>
        <v>-128</v>
      </c>
      <c r="O14">
        <f t="shared" si="10"/>
        <v>221</v>
      </c>
      <c r="P14">
        <v>1</v>
      </c>
      <c r="Q14">
        <f t="shared" si="11"/>
        <v>18905</v>
      </c>
      <c r="R14">
        <f t="shared" si="12"/>
        <v>30720</v>
      </c>
      <c r="S14">
        <f t="shared" si="13"/>
        <v>29145</v>
      </c>
      <c r="T14">
        <f t="shared" si="14"/>
        <v>13040</v>
      </c>
      <c r="U14">
        <f t="shared" si="15"/>
        <v>221</v>
      </c>
      <c r="V14">
        <f t="shared" si="16"/>
        <v>128</v>
      </c>
      <c r="W14">
        <f t="shared" si="17"/>
        <v>113</v>
      </c>
      <c r="X14">
        <f t="shared" si="18"/>
        <v>217</v>
      </c>
    </row>
    <row r="15" spans="2:24" x14ac:dyDescent="0.15">
      <c r="B15">
        <v>11</v>
      </c>
      <c r="C15">
        <f t="shared" si="1"/>
        <v>1.727875959474386</v>
      </c>
      <c r="D15">
        <f t="shared" si="2"/>
        <v>0.98768834059513777</v>
      </c>
      <c r="E15">
        <f t="shared" si="3"/>
        <v>1.0343048116166595</v>
      </c>
      <c r="F15">
        <f t="shared" si="4"/>
        <v>0.85950723702374809</v>
      </c>
      <c r="G15">
        <f t="shared" si="5"/>
        <v>230</v>
      </c>
      <c r="H15">
        <f t="shared" si="6"/>
        <v>453.6866645154621</v>
      </c>
      <c r="I15">
        <v>211</v>
      </c>
      <c r="J15">
        <v>80</v>
      </c>
      <c r="K15">
        <f t="shared" si="0"/>
        <v>0.51715240580832977</v>
      </c>
      <c r="L15">
        <f t="shared" si="7"/>
        <v>222</v>
      </c>
      <c r="M15">
        <f t="shared" si="8"/>
        <v>126</v>
      </c>
      <c r="N15">
        <f t="shared" si="9"/>
        <v>-126</v>
      </c>
      <c r="O15">
        <f t="shared" si="10"/>
        <v>222</v>
      </c>
      <c r="P15">
        <v>1</v>
      </c>
      <c r="Q15">
        <f t="shared" si="11"/>
        <v>18694</v>
      </c>
      <c r="R15">
        <f t="shared" si="12"/>
        <v>30560</v>
      </c>
      <c r="S15">
        <f t="shared" si="13"/>
        <v>28774</v>
      </c>
      <c r="T15">
        <f t="shared" si="14"/>
        <v>12800</v>
      </c>
      <c r="U15">
        <f t="shared" si="15"/>
        <v>222</v>
      </c>
      <c r="V15">
        <f t="shared" si="16"/>
        <v>126</v>
      </c>
      <c r="W15">
        <f t="shared" si="17"/>
        <v>112</v>
      </c>
      <c r="X15">
        <f t="shared" si="18"/>
        <v>217</v>
      </c>
    </row>
    <row r="16" spans="2:24" x14ac:dyDescent="0.15">
      <c r="B16">
        <v>12</v>
      </c>
      <c r="C16">
        <f t="shared" si="1"/>
        <v>1.8849555921538761</v>
      </c>
      <c r="D16">
        <f t="shared" si="2"/>
        <v>0.95105651629515353</v>
      </c>
      <c r="E16">
        <f t="shared" si="3"/>
        <v>0.99594405491385185</v>
      </c>
      <c r="F16">
        <f t="shared" si="4"/>
        <v>0.83927263295391474</v>
      </c>
      <c r="G16">
        <f t="shared" si="5"/>
        <v>250</v>
      </c>
      <c r="H16">
        <f t="shared" si="6"/>
        <v>465.81815823847865</v>
      </c>
      <c r="I16">
        <v>211</v>
      </c>
      <c r="J16">
        <v>80</v>
      </c>
      <c r="K16">
        <f t="shared" si="0"/>
        <v>0.49797202745692593</v>
      </c>
      <c r="L16">
        <f t="shared" si="7"/>
        <v>224</v>
      </c>
      <c r="M16">
        <f t="shared" si="8"/>
        <v>122</v>
      </c>
      <c r="N16">
        <f t="shared" si="9"/>
        <v>-122</v>
      </c>
      <c r="O16">
        <f t="shared" si="10"/>
        <v>224</v>
      </c>
      <c r="P16">
        <v>1</v>
      </c>
      <c r="Q16">
        <f t="shared" si="11"/>
        <v>18272</v>
      </c>
      <c r="R16">
        <f t="shared" si="12"/>
        <v>30240</v>
      </c>
      <c r="S16">
        <f t="shared" si="13"/>
        <v>28032</v>
      </c>
      <c r="T16">
        <f t="shared" si="14"/>
        <v>12320</v>
      </c>
      <c r="U16">
        <f t="shared" si="15"/>
        <v>224</v>
      </c>
      <c r="V16">
        <f t="shared" si="16"/>
        <v>122</v>
      </c>
      <c r="W16">
        <f t="shared" si="17"/>
        <v>109</v>
      </c>
      <c r="X16">
        <f t="shared" si="18"/>
        <v>216</v>
      </c>
    </row>
    <row r="17" spans="2:24" x14ac:dyDescent="0.15">
      <c r="B17">
        <v>13</v>
      </c>
      <c r="C17">
        <f t="shared" si="1"/>
        <v>2.0420352248333655</v>
      </c>
      <c r="D17">
        <f t="shared" si="2"/>
        <v>0.8910065241883679</v>
      </c>
      <c r="E17">
        <f t="shared" si="3"/>
        <v>0.93305985023025106</v>
      </c>
      <c r="F17">
        <f t="shared" si="4"/>
        <v>0.80344546782369186</v>
      </c>
      <c r="G17">
        <f t="shared" si="5"/>
        <v>270</v>
      </c>
      <c r="H17">
        <f t="shared" si="6"/>
        <v>472.93027631239681</v>
      </c>
      <c r="I17">
        <v>211</v>
      </c>
      <c r="J17">
        <v>80</v>
      </c>
      <c r="K17">
        <f t="shared" si="0"/>
        <v>0.46652992511512553</v>
      </c>
      <c r="L17">
        <f t="shared" si="7"/>
        <v>228</v>
      </c>
      <c r="M17">
        <f t="shared" si="8"/>
        <v>115</v>
      </c>
      <c r="N17">
        <f t="shared" si="9"/>
        <v>-115</v>
      </c>
      <c r="O17">
        <f t="shared" si="10"/>
        <v>228</v>
      </c>
      <c r="P17">
        <v>1</v>
      </c>
      <c r="Q17">
        <f t="shared" si="11"/>
        <v>17428</v>
      </c>
      <c r="R17">
        <f t="shared" si="12"/>
        <v>29680</v>
      </c>
      <c r="S17">
        <f t="shared" si="13"/>
        <v>26628</v>
      </c>
      <c r="T17">
        <f t="shared" si="14"/>
        <v>11440</v>
      </c>
      <c r="U17">
        <f t="shared" si="15"/>
        <v>228</v>
      </c>
      <c r="V17">
        <f t="shared" si="16"/>
        <v>115</v>
      </c>
      <c r="W17">
        <f t="shared" si="17"/>
        <v>104</v>
      </c>
      <c r="X17">
        <f t="shared" si="18"/>
        <v>214</v>
      </c>
    </row>
    <row r="18" spans="2:24" x14ac:dyDescent="0.15">
      <c r="B18">
        <v>14</v>
      </c>
      <c r="C18">
        <f t="shared" si="1"/>
        <v>2.1991148575128552</v>
      </c>
      <c r="D18">
        <f t="shared" si="2"/>
        <v>0.80901699437494745</v>
      </c>
      <c r="E18">
        <f t="shared" si="3"/>
        <v>0.84720061538587654</v>
      </c>
      <c r="F18">
        <f t="shared" si="4"/>
        <v>0.7494299171662957</v>
      </c>
      <c r="G18">
        <f t="shared" si="5"/>
        <v>290</v>
      </c>
      <c r="H18">
        <f t="shared" si="6"/>
        <v>473.33467597822573</v>
      </c>
      <c r="I18">
        <v>211</v>
      </c>
      <c r="J18">
        <v>80</v>
      </c>
      <c r="K18">
        <f t="shared" si="0"/>
        <v>0.42360030769293827</v>
      </c>
      <c r="L18">
        <f t="shared" si="7"/>
        <v>233</v>
      </c>
      <c r="M18">
        <f t="shared" si="8"/>
        <v>105</v>
      </c>
      <c r="N18">
        <f t="shared" si="9"/>
        <v>-105</v>
      </c>
      <c r="O18">
        <f t="shared" si="10"/>
        <v>233</v>
      </c>
      <c r="P18">
        <v>1</v>
      </c>
      <c r="Q18">
        <f t="shared" si="11"/>
        <v>16373</v>
      </c>
      <c r="R18">
        <f t="shared" si="12"/>
        <v>28880</v>
      </c>
      <c r="S18">
        <f t="shared" si="13"/>
        <v>24773</v>
      </c>
      <c r="T18">
        <f t="shared" si="14"/>
        <v>10240</v>
      </c>
      <c r="U18">
        <f t="shared" si="15"/>
        <v>233</v>
      </c>
      <c r="V18">
        <f t="shared" si="16"/>
        <v>105</v>
      </c>
      <c r="W18">
        <f t="shared" si="17"/>
        <v>96</v>
      </c>
      <c r="X18">
        <f t="shared" si="18"/>
        <v>212</v>
      </c>
    </row>
    <row r="19" spans="2:24" x14ac:dyDescent="0.15">
      <c r="B19">
        <v>15</v>
      </c>
      <c r="C19">
        <f t="shared" si="1"/>
        <v>2.3561944901923448</v>
      </c>
      <c r="D19">
        <f t="shared" si="2"/>
        <v>0.70710678118654757</v>
      </c>
      <c r="E19">
        <f t="shared" si="3"/>
        <v>0.74048048969306102</v>
      </c>
      <c r="F19">
        <f t="shared" si="4"/>
        <v>0.67464266030907116</v>
      </c>
      <c r="G19">
        <f t="shared" si="5"/>
        <v>310</v>
      </c>
      <c r="H19">
        <f t="shared" si="6"/>
        <v>465.13922469581206</v>
      </c>
      <c r="I19">
        <v>211</v>
      </c>
      <c r="J19">
        <v>80</v>
      </c>
      <c r="K19">
        <f t="shared" si="0"/>
        <v>0.37024024484653051</v>
      </c>
      <c r="L19">
        <f t="shared" si="7"/>
        <v>238</v>
      </c>
      <c r="M19">
        <f t="shared" si="8"/>
        <v>92</v>
      </c>
      <c r="N19">
        <f t="shared" si="9"/>
        <v>-92</v>
      </c>
      <c r="O19">
        <f t="shared" si="10"/>
        <v>238</v>
      </c>
      <c r="P19">
        <v>1</v>
      </c>
      <c r="Q19">
        <f t="shared" si="11"/>
        <v>15318</v>
      </c>
      <c r="R19">
        <f t="shared" si="12"/>
        <v>27840</v>
      </c>
      <c r="S19">
        <f t="shared" si="13"/>
        <v>22678</v>
      </c>
      <c r="T19">
        <f t="shared" si="14"/>
        <v>8800</v>
      </c>
      <c r="U19">
        <f t="shared" si="15"/>
        <v>238</v>
      </c>
      <c r="V19">
        <f t="shared" si="16"/>
        <v>92</v>
      </c>
      <c r="W19">
        <f t="shared" si="17"/>
        <v>88</v>
      </c>
      <c r="X19">
        <f t="shared" si="18"/>
        <v>209</v>
      </c>
    </row>
    <row r="20" spans="2:24" x14ac:dyDescent="0.15">
      <c r="B20">
        <v>16</v>
      </c>
      <c r="C20">
        <f t="shared" si="1"/>
        <v>2.5132741228718345</v>
      </c>
      <c r="D20">
        <f t="shared" si="2"/>
        <v>0.58778525229247325</v>
      </c>
      <c r="E20">
        <f t="shared" si="3"/>
        <v>0.6155272768301524</v>
      </c>
      <c r="F20">
        <f t="shared" si="4"/>
        <v>0.57738910777622643</v>
      </c>
      <c r="G20">
        <f t="shared" si="5"/>
        <v>330</v>
      </c>
      <c r="H20">
        <f t="shared" si="6"/>
        <v>446.53840556615472</v>
      </c>
      <c r="I20">
        <v>211</v>
      </c>
      <c r="J20">
        <v>80</v>
      </c>
      <c r="K20">
        <f t="shared" si="0"/>
        <v>0.3077636384150762</v>
      </c>
      <c r="L20">
        <f t="shared" si="7"/>
        <v>243</v>
      </c>
      <c r="M20">
        <f t="shared" si="8"/>
        <v>77</v>
      </c>
      <c r="N20">
        <f t="shared" si="9"/>
        <v>-77</v>
      </c>
      <c r="O20">
        <f t="shared" si="10"/>
        <v>243</v>
      </c>
      <c r="P20">
        <v>1</v>
      </c>
      <c r="Q20">
        <f t="shared" si="11"/>
        <v>14263</v>
      </c>
      <c r="R20">
        <f t="shared" si="12"/>
        <v>26640</v>
      </c>
      <c r="S20">
        <f t="shared" si="13"/>
        <v>20423</v>
      </c>
      <c r="T20">
        <f t="shared" si="14"/>
        <v>7200</v>
      </c>
      <c r="U20">
        <f t="shared" si="15"/>
        <v>243</v>
      </c>
      <c r="V20">
        <f t="shared" si="16"/>
        <v>77</v>
      </c>
      <c r="W20">
        <f t="shared" si="17"/>
        <v>79</v>
      </c>
      <c r="X20">
        <f t="shared" si="18"/>
        <v>206</v>
      </c>
    </row>
    <row r="21" spans="2:24" x14ac:dyDescent="0.15">
      <c r="B21">
        <v>17</v>
      </c>
      <c r="C21">
        <f t="shared" si="1"/>
        <v>2.6703537555513241</v>
      </c>
      <c r="D21">
        <f t="shared" si="2"/>
        <v>0.45399049973954686</v>
      </c>
      <c r="E21">
        <f t="shared" si="3"/>
        <v>0.47541773959377309</v>
      </c>
      <c r="F21">
        <f t="shared" si="4"/>
        <v>0.45770990004419193</v>
      </c>
      <c r="G21">
        <f t="shared" si="5"/>
        <v>350</v>
      </c>
      <c r="H21">
        <f t="shared" si="6"/>
        <v>416.19846501546715</v>
      </c>
      <c r="I21">
        <v>211</v>
      </c>
      <c r="J21">
        <v>80</v>
      </c>
      <c r="K21">
        <f t="shared" si="0"/>
        <v>0.23770886979688655</v>
      </c>
      <c r="L21">
        <f t="shared" si="7"/>
        <v>248</v>
      </c>
      <c r="M21">
        <f t="shared" si="8"/>
        <v>60</v>
      </c>
      <c r="N21">
        <f t="shared" si="9"/>
        <v>-60</v>
      </c>
      <c r="O21">
        <f t="shared" si="10"/>
        <v>248</v>
      </c>
      <c r="P21">
        <v>1</v>
      </c>
      <c r="Q21">
        <f t="shared" si="11"/>
        <v>13208</v>
      </c>
      <c r="R21">
        <f t="shared" si="12"/>
        <v>25280</v>
      </c>
      <c r="S21">
        <f t="shared" si="13"/>
        <v>18008</v>
      </c>
      <c r="T21">
        <f t="shared" si="14"/>
        <v>5440</v>
      </c>
      <c r="U21">
        <f t="shared" si="15"/>
        <v>248</v>
      </c>
      <c r="V21">
        <f t="shared" si="16"/>
        <v>60</v>
      </c>
      <c r="W21">
        <f t="shared" si="17"/>
        <v>70</v>
      </c>
      <c r="X21">
        <f t="shared" si="18"/>
        <v>202</v>
      </c>
    </row>
    <row r="22" spans="2:24" x14ac:dyDescent="0.15">
      <c r="B22">
        <v>18</v>
      </c>
      <c r="C22">
        <f t="shared" si="1"/>
        <v>2.8274333882308134</v>
      </c>
      <c r="D22">
        <f t="shared" si="2"/>
        <v>0.30901699437494795</v>
      </c>
      <c r="E22">
        <f t="shared" si="3"/>
        <v>0.32360183978757834</v>
      </c>
      <c r="F22">
        <f t="shared" si="4"/>
        <v>0.31798350664708591</v>
      </c>
      <c r="G22">
        <f t="shared" si="5"/>
        <v>370</v>
      </c>
      <c r="H22">
        <f t="shared" si="6"/>
        <v>373.65389745942178</v>
      </c>
      <c r="I22">
        <v>211</v>
      </c>
      <c r="J22">
        <v>80</v>
      </c>
      <c r="K22">
        <f t="shared" si="0"/>
        <v>0.16180091989378917</v>
      </c>
      <c r="L22">
        <f t="shared" si="7"/>
        <v>252</v>
      </c>
      <c r="M22">
        <f t="shared" si="8"/>
        <v>41</v>
      </c>
      <c r="N22">
        <f t="shared" si="9"/>
        <v>-41</v>
      </c>
      <c r="O22">
        <f t="shared" si="10"/>
        <v>252</v>
      </c>
      <c r="P22">
        <v>1</v>
      </c>
      <c r="Q22">
        <f t="shared" si="11"/>
        <v>12364</v>
      </c>
      <c r="R22">
        <f t="shared" si="12"/>
        <v>23760</v>
      </c>
      <c r="S22">
        <f t="shared" si="13"/>
        <v>15644</v>
      </c>
      <c r="T22">
        <f t="shared" si="14"/>
        <v>3600</v>
      </c>
      <c r="U22">
        <f t="shared" si="15"/>
        <v>252</v>
      </c>
      <c r="V22">
        <f t="shared" si="16"/>
        <v>41</v>
      </c>
      <c r="W22">
        <f t="shared" si="17"/>
        <v>61</v>
      </c>
      <c r="X22">
        <f t="shared" si="18"/>
        <v>199</v>
      </c>
    </row>
    <row r="23" spans="2:24" x14ac:dyDescent="0.15">
      <c r="B23">
        <v>19</v>
      </c>
      <c r="C23">
        <f t="shared" si="1"/>
        <v>2.9845130209103035</v>
      </c>
      <c r="D23">
        <f t="shared" si="2"/>
        <v>0.15643446504023098</v>
      </c>
      <c r="E23">
        <f t="shared" si="3"/>
        <v>0.16381778871287966</v>
      </c>
      <c r="F23">
        <f t="shared" si="4"/>
        <v>0.16308606156716099</v>
      </c>
      <c r="G23">
        <f t="shared" si="5"/>
        <v>390</v>
      </c>
      <c r="H23">
        <f t="shared" si="6"/>
        <v>319.60356401119282</v>
      </c>
      <c r="I23">
        <v>211</v>
      </c>
      <c r="J23">
        <v>80</v>
      </c>
      <c r="K23">
        <f t="shared" si="0"/>
        <v>8.1908894356439832E-2</v>
      </c>
      <c r="L23">
        <f t="shared" si="7"/>
        <v>255</v>
      </c>
      <c r="M23">
        <f t="shared" si="8"/>
        <v>20</v>
      </c>
      <c r="N23">
        <f t="shared" si="9"/>
        <v>-20</v>
      </c>
      <c r="O23">
        <f t="shared" si="10"/>
        <v>255</v>
      </c>
      <c r="P23">
        <v>1</v>
      </c>
      <c r="Q23">
        <f t="shared" si="11"/>
        <v>11731</v>
      </c>
      <c r="R23">
        <f t="shared" si="12"/>
        <v>22080</v>
      </c>
      <c r="S23">
        <f t="shared" si="13"/>
        <v>13331</v>
      </c>
      <c r="T23">
        <f t="shared" si="14"/>
        <v>1680</v>
      </c>
      <c r="U23">
        <f t="shared" si="15"/>
        <v>255</v>
      </c>
      <c r="V23">
        <f t="shared" si="16"/>
        <v>20</v>
      </c>
      <c r="W23">
        <f t="shared" si="17"/>
        <v>52</v>
      </c>
      <c r="X23">
        <f t="shared" si="18"/>
        <v>195</v>
      </c>
    </row>
    <row r="24" spans="2:24" x14ac:dyDescent="0.15">
      <c r="B24">
        <v>20</v>
      </c>
      <c r="C24">
        <f t="shared" si="1"/>
        <v>3.1415926535897931</v>
      </c>
      <c r="D24">
        <f t="shared" si="2"/>
        <v>1.22514845490862E-16</v>
      </c>
      <c r="E24">
        <f t="shared" si="3"/>
        <v>1.2829724618326021E-16</v>
      </c>
      <c r="F24">
        <f t="shared" si="4"/>
        <v>1.2829724618326021E-16</v>
      </c>
      <c r="G24">
        <f t="shared" si="5"/>
        <v>410</v>
      </c>
      <c r="H24">
        <f t="shared" si="6"/>
        <v>256.00000000000006</v>
      </c>
      <c r="I24">
        <v>211</v>
      </c>
      <c r="J24">
        <v>80</v>
      </c>
      <c r="K24">
        <f t="shared" si="0"/>
        <v>6.4148623091630105E-17</v>
      </c>
      <c r="L24">
        <f t="shared" si="7"/>
        <v>256</v>
      </c>
      <c r="M24">
        <f t="shared" si="8"/>
        <v>0</v>
      </c>
      <c r="N24">
        <f t="shared" si="9"/>
        <v>0</v>
      </c>
      <c r="O24">
        <f t="shared" si="10"/>
        <v>256</v>
      </c>
      <c r="P24">
        <v>1</v>
      </c>
      <c r="Q24">
        <f t="shared" si="11"/>
        <v>11520</v>
      </c>
      <c r="R24">
        <f t="shared" si="12"/>
        <v>20480</v>
      </c>
      <c r="S24">
        <f t="shared" si="13"/>
        <v>11520</v>
      </c>
      <c r="T24">
        <f t="shared" si="14"/>
        <v>0</v>
      </c>
      <c r="U24">
        <f t="shared" si="15"/>
        <v>256</v>
      </c>
      <c r="V24">
        <f t="shared" si="16"/>
        <v>0</v>
      </c>
      <c r="W24">
        <f t="shared" si="17"/>
        <v>45</v>
      </c>
      <c r="X24">
        <f t="shared" si="18"/>
        <v>192</v>
      </c>
    </row>
    <row r="25" spans="2:24" x14ac:dyDescent="0.15">
      <c r="B25">
        <v>21</v>
      </c>
      <c r="C25">
        <f t="shared" si="1"/>
        <v>3.2986722862692823</v>
      </c>
      <c r="D25">
        <f t="shared" si="2"/>
        <v>-0.15643446504023031</v>
      </c>
      <c r="E25">
        <f t="shared" si="3"/>
        <v>-0.16381778871287897</v>
      </c>
      <c r="F25">
        <f t="shared" si="4"/>
        <v>-0.16308606156716032</v>
      </c>
      <c r="G25">
        <f t="shared" si="5"/>
        <v>430</v>
      </c>
      <c r="H25">
        <f t="shared" si="6"/>
        <v>185.87299352612106</v>
      </c>
      <c r="I25">
        <v>211</v>
      </c>
      <c r="J25">
        <v>80</v>
      </c>
      <c r="K25">
        <f t="shared" si="0"/>
        <v>-8.1908894356439485E-2</v>
      </c>
      <c r="L25">
        <f t="shared" si="7"/>
        <v>255</v>
      </c>
      <c r="M25">
        <f t="shared" si="8"/>
        <v>-21</v>
      </c>
      <c r="N25">
        <f t="shared" si="9"/>
        <v>21</v>
      </c>
      <c r="O25">
        <f t="shared" si="10"/>
        <v>255</v>
      </c>
      <c r="P25">
        <v>1</v>
      </c>
      <c r="Q25">
        <f t="shared" si="11"/>
        <v>11731</v>
      </c>
      <c r="R25">
        <f t="shared" si="12"/>
        <v>18800</v>
      </c>
      <c r="S25">
        <f t="shared" si="13"/>
        <v>10051</v>
      </c>
      <c r="T25">
        <f t="shared" si="14"/>
        <v>-1600</v>
      </c>
      <c r="U25">
        <f t="shared" si="15"/>
        <v>255</v>
      </c>
      <c r="V25">
        <f t="shared" si="16"/>
        <v>-21</v>
      </c>
      <c r="W25">
        <f t="shared" si="17"/>
        <v>39</v>
      </c>
      <c r="X25">
        <f t="shared" si="18"/>
        <v>188</v>
      </c>
    </row>
    <row r="26" spans="2:24" x14ac:dyDescent="0.15">
      <c r="B26">
        <v>22</v>
      </c>
      <c r="C26">
        <f t="shared" si="1"/>
        <v>3.455751918948772</v>
      </c>
      <c r="D26">
        <f t="shared" si="2"/>
        <v>-0.3090169943749469</v>
      </c>
      <c r="E26">
        <f t="shared" si="3"/>
        <v>-0.32360183978757723</v>
      </c>
      <c r="F26">
        <f t="shared" si="4"/>
        <v>-0.31798350664708486</v>
      </c>
      <c r="G26">
        <f t="shared" si="5"/>
        <v>450</v>
      </c>
      <c r="H26">
        <f t="shared" si="6"/>
        <v>112.90742200881181</v>
      </c>
      <c r="I26">
        <v>211</v>
      </c>
      <c r="J26">
        <v>80</v>
      </c>
      <c r="K26">
        <f t="shared" si="0"/>
        <v>-0.16180091989378861</v>
      </c>
      <c r="L26">
        <f t="shared" si="7"/>
        <v>252</v>
      </c>
      <c r="M26">
        <f t="shared" si="8"/>
        <v>-42</v>
      </c>
      <c r="N26">
        <f t="shared" si="9"/>
        <v>42</v>
      </c>
      <c r="O26">
        <f t="shared" si="10"/>
        <v>252</v>
      </c>
      <c r="P26">
        <v>1</v>
      </c>
      <c r="Q26">
        <f t="shared" si="11"/>
        <v>12364</v>
      </c>
      <c r="R26">
        <f t="shared" si="12"/>
        <v>17120</v>
      </c>
      <c r="S26">
        <f t="shared" si="13"/>
        <v>9004</v>
      </c>
      <c r="T26">
        <f t="shared" si="14"/>
        <v>-3040</v>
      </c>
      <c r="U26">
        <f t="shared" si="15"/>
        <v>252</v>
      </c>
      <c r="V26">
        <f t="shared" si="16"/>
        <v>-42</v>
      </c>
      <c r="W26">
        <f t="shared" si="17"/>
        <v>35</v>
      </c>
      <c r="X26">
        <f t="shared" si="18"/>
        <v>186</v>
      </c>
    </row>
    <row r="27" spans="2:24" x14ac:dyDescent="0.15">
      <c r="B27">
        <v>23</v>
      </c>
      <c r="C27">
        <f t="shared" si="1"/>
        <v>3.6128315516282625</v>
      </c>
      <c r="D27">
        <f t="shared" si="2"/>
        <v>-0.45399049973954708</v>
      </c>
      <c r="E27">
        <f t="shared" si="3"/>
        <v>-0.47541773959377331</v>
      </c>
      <c r="F27">
        <f t="shared" si="4"/>
        <v>-0.4577099000441921</v>
      </c>
      <c r="G27">
        <f t="shared" si="5"/>
        <v>470</v>
      </c>
      <c r="H27">
        <f t="shared" si="6"/>
        <v>40.876346979229709</v>
      </c>
      <c r="I27">
        <v>211</v>
      </c>
      <c r="J27">
        <v>80</v>
      </c>
      <c r="K27">
        <f t="shared" si="0"/>
        <v>-0.23770886979688666</v>
      </c>
      <c r="L27">
        <f t="shared" si="7"/>
        <v>248</v>
      </c>
      <c r="M27">
        <f t="shared" si="8"/>
        <v>-61</v>
      </c>
      <c r="N27">
        <f t="shared" si="9"/>
        <v>61</v>
      </c>
      <c r="O27">
        <f t="shared" si="10"/>
        <v>248</v>
      </c>
      <c r="P27">
        <v>1</v>
      </c>
      <c r="Q27">
        <f t="shared" si="11"/>
        <v>13208</v>
      </c>
      <c r="R27">
        <f t="shared" si="12"/>
        <v>15600</v>
      </c>
      <c r="S27">
        <f t="shared" si="13"/>
        <v>8328</v>
      </c>
      <c r="T27">
        <f t="shared" si="14"/>
        <v>-4240</v>
      </c>
      <c r="U27">
        <f t="shared" si="15"/>
        <v>248</v>
      </c>
      <c r="V27">
        <f t="shared" si="16"/>
        <v>-61</v>
      </c>
      <c r="W27">
        <f t="shared" si="17"/>
        <v>32</v>
      </c>
      <c r="X27">
        <f t="shared" si="18"/>
        <v>183</v>
      </c>
    </row>
    <row r="28" spans="2:24" x14ac:dyDescent="0.15">
      <c r="B28">
        <v>24</v>
      </c>
      <c r="C28">
        <f t="shared" si="1"/>
        <v>3.7699111843077522</v>
      </c>
      <c r="D28">
        <f t="shared" si="2"/>
        <v>-0.58778525229247336</v>
      </c>
      <c r="E28">
        <f t="shared" si="3"/>
        <v>-0.6155272768301524</v>
      </c>
      <c r="F28">
        <f t="shared" si="4"/>
        <v>-0.57738910777622643</v>
      </c>
      <c r="G28">
        <f t="shared" si="5"/>
        <v>490</v>
      </c>
      <c r="H28">
        <f t="shared" si="6"/>
        <v>-26.920662810350962</v>
      </c>
      <c r="I28">
        <v>211</v>
      </c>
      <c r="J28">
        <v>80</v>
      </c>
      <c r="K28">
        <f t="shared" si="0"/>
        <v>-0.3077636384150762</v>
      </c>
      <c r="L28">
        <f t="shared" si="7"/>
        <v>243</v>
      </c>
      <c r="M28">
        <f t="shared" si="8"/>
        <v>-78</v>
      </c>
      <c r="N28">
        <f t="shared" si="9"/>
        <v>78</v>
      </c>
      <c r="O28">
        <f t="shared" si="10"/>
        <v>243</v>
      </c>
      <c r="P28">
        <v>1</v>
      </c>
      <c r="Q28">
        <f t="shared" si="11"/>
        <v>14263</v>
      </c>
      <c r="R28">
        <f t="shared" si="12"/>
        <v>14240</v>
      </c>
      <c r="S28">
        <f t="shared" si="13"/>
        <v>8023</v>
      </c>
      <c r="T28">
        <f t="shared" si="14"/>
        <v>-5200</v>
      </c>
      <c r="U28">
        <f t="shared" si="15"/>
        <v>243</v>
      </c>
      <c r="V28">
        <f t="shared" si="16"/>
        <v>-78</v>
      </c>
      <c r="W28">
        <f t="shared" si="17"/>
        <v>31</v>
      </c>
      <c r="X28">
        <f t="shared" si="18"/>
        <v>181</v>
      </c>
    </row>
    <row r="29" spans="2:24" x14ac:dyDescent="0.15">
      <c r="B29">
        <v>25</v>
      </c>
      <c r="C29">
        <f t="shared" si="1"/>
        <v>3.9269908169872414</v>
      </c>
      <c r="D29">
        <f t="shared" si="2"/>
        <v>-0.70710678118654746</v>
      </c>
      <c r="E29">
        <f t="shared" si="3"/>
        <v>-0.74048048969306102</v>
      </c>
      <c r="F29">
        <f t="shared" si="4"/>
        <v>-0.67464266030907116</v>
      </c>
      <c r="G29">
        <f t="shared" si="5"/>
        <v>510</v>
      </c>
      <c r="H29">
        <f t="shared" si="6"/>
        <v>-88.067756757626285</v>
      </c>
      <c r="I29">
        <v>211</v>
      </c>
      <c r="J29">
        <v>80</v>
      </c>
      <c r="K29">
        <f t="shared" si="0"/>
        <v>-0.37024024484653051</v>
      </c>
      <c r="L29">
        <f t="shared" si="7"/>
        <v>238</v>
      </c>
      <c r="M29">
        <f t="shared" si="8"/>
        <v>-93</v>
      </c>
      <c r="N29">
        <f t="shared" si="9"/>
        <v>93</v>
      </c>
      <c r="O29">
        <f t="shared" si="10"/>
        <v>238</v>
      </c>
      <c r="P29">
        <v>1</v>
      </c>
      <c r="Q29">
        <f t="shared" si="11"/>
        <v>15318</v>
      </c>
      <c r="R29">
        <f t="shared" si="12"/>
        <v>13040</v>
      </c>
      <c r="S29">
        <f t="shared" si="13"/>
        <v>7878</v>
      </c>
      <c r="T29">
        <f t="shared" si="14"/>
        <v>-6000</v>
      </c>
      <c r="U29">
        <f t="shared" si="15"/>
        <v>238</v>
      </c>
      <c r="V29">
        <f t="shared" si="16"/>
        <v>-93</v>
      </c>
      <c r="W29">
        <f t="shared" si="17"/>
        <v>30</v>
      </c>
      <c r="X29">
        <f t="shared" si="18"/>
        <v>180</v>
      </c>
    </row>
    <row r="30" spans="2:24" x14ac:dyDescent="0.15">
      <c r="B30">
        <v>26</v>
      </c>
      <c r="C30">
        <f t="shared" si="1"/>
        <v>4.0840704496667311</v>
      </c>
      <c r="D30">
        <f t="shared" si="2"/>
        <v>-0.80901699437494734</v>
      </c>
      <c r="E30">
        <f t="shared" si="3"/>
        <v>-0.84720061538587654</v>
      </c>
      <c r="F30">
        <f t="shared" si="4"/>
        <v>-0.7494299171662957</v>
      </c>
      <c r="G30">
        <f t="shared" si="5"/>
        <v>530</v>
      </c>
      <c r="H30">
        <f t="shared" si="6"/>
        <v>-141.1978560981367</v>
      </c>
      <c r="I30">
        <v>211</v>
      </c>
      <c r="J30">
        <v>80</v>
      </c>
      <c r="K30">
        <f t="shared" si="0"/>
        <v>-0.42360030769293827</v>
      </c>
      <c r="L30">
        <f t="shared" si="7"/>
        <v>233</v>
      </c>
      <c r="M30">
        <f t="shared" si="8"/>
        <v>-106</v>
      </c>
      <c r="N30">
        <f t="shared" si="9"/>
        <v>106</v>
      </c>
      <c r="O30">
        <f t="shared" si="10"/>
        <v>233</v>
      </c>
      <c r="P30">
        <v>1</v>
      </c>
      <c r="Q30">
        <f t="shared" si="11"/>
        <v>16373</v>
      </c>
      <c r="R30">
        <f t="shared" si="12"/>
        <v>12000</v>
      </c>
      <c r="S30">
        <f t="shared" si="13"/>
        <v>7893</v>
      </c>
      <c r="T30">
        <f t="shared" si="14"/>
        <v>-6640</v>
      </c>
      <c r="U30">
        <f t="shared" si="15"/>
        <v>233</v>
      </c>
      <c r="V30">
        <f t="shared" si="16"/>
        <v>-106</v>
      </c>
      <c r="W30">
        <f t="shared" si="17"/>
        <v>30</v>
      </c>
      <c r="X30">
        <f t="shared" si="18"/>
        <v>179</v>
      </c>
    </row>
    <row r="31" spans="2:24" x14ac:dyDescent="0.15">
      <c r="B31">
        <v>27</v>
      </c>
      <c r="C31">
        <f t="shared" si="1"/>
        <v>4.2411500823462207</v>
      </c>
      <c r="D31">
        <f t="shared" si="2"/>
        <v>-0.89100652418836779</v>
      </c>
      <c r="E31">
        <f t="shared" si="3"/>
        <v>-0.93305985023025084</v>
      </c>
      <c r="F31">
        <f t="shared" si="4"/>
        <v>-0.80344546782369175</v>
      </c>
      <c r="G31">
        <f t="shared" si="5"/>
        <v>550</v>
      </c>
      <c r="H31">
        <f t="shared" si="6"/>
        <v>-185.89500730303047</v>
      </c>
      <c r="I31">
        <v>211</v>
      </c>
      <c r="J31">
        <v>80</v>
      </c>
      <c r="K31">
        <f t="shared" si="0"/>
        <v>-0.46652992511512542</v>
      </c>
      <c r="L31">
        <f t="shared" si="7"/>
        <v>228</v>
      </c>
      <c r="M31">
        <f t="shared" si="8"/>
        <v>-116</v>
      </c>
      <c r="N31">
        <f t="shared" si="9"/>
        <v>116</v>
      </c>
      <c r="O31">
        <f t="shared" si="10"/>
        <v>228</v>
      </c>
      <c r="P31">
        <v>1</v>
      </c>
      <c r="Q31">
        <f t="shared" si="11"/>
        <v>17428</v>
      </c>
      <c r="R31">
        <f t="shared" si="12"/>
        <v>11200</v>
      </c>
      <c r="S31">
        <f t="shared" si="13"/>
        <v>8148</v>
      </c>
      <c r="T31">
        <f t="shared" si="14"/>
        <v>-7040</v>
      </c>
      <c r="U31">
        <f t="shared" si="15"/>
        <v>228</v>
      </c>
      <c r="V31">
        <f t="shared" si="16"/>
        <v>-116</v>
      </c>
      <c r="W31">
        <f t="shared" si="17"/>
        <v>31</v>
      </c>
      <c r="X31">
        <f t="shared" si="18"/>
        <v>178</v>
      </c>
    </row>
    <row r="32" spans="2:24" x14ac:dyDescent="0.15">
      <c r="B32">
        <v>28</v>
      </c>
      <c r="C32">
        <f t="shared" si="1"/>
        <v>4.3982297150257104</v>
      </c>
      <c r="D32">
        <f t="shared" si="2"/>
        <v>-0.95105651629515353</v>
      </c>
      <c r="E32">
        <f t="shared" si="3"/>
        <v>-0.99594405491385185</v>
      </c>
      <c r="F32">
        <f t="shared" si="4"/>
        <v>-0.83927263295391474</v>
      </c>
      <c r="G32">
        <f t="shared" si="5"/>
        <v>570</v>
      </c>
      <c r="H32">
        <f t="shared" si="6"/>
        <v>-222.38540078373143</v>
      </c>
      <c r="I32">
        <v>211</v>
      </c>
      <c r="J32">
        <v>80</v>
      </c>
      <c r="K32">
        <f t="shared" si="0"/>
        <v>-0.49797202745692593</v>
      </c>
      <c r="L32">
        <f t="shared" si="7"/>
        <v>224</v>
      </c>
      <c r="M32">
        <f t="shared" si="8"/>
        <v>-123</v>
      </c>
      <c r="N32">
        <f t="shared" si="9"/>
        <v>123</v>
      </c>
      <c r="O32">
        <f t="shared" si="10"/>
        <v>224</v>
      </c>
      <c r="P32">
        <v>1</v>
      </c>
      <c r="Q32">
        <f t="shared" si="11"/>
        <v>18272</v>
      </c>
      <c r="R32">
        <f t="shared" si="12"/>
        <v>10640</v>
      </c>
      <c r="S32">
        <f t="shared" si="13"/>
        <v>8432</v>
      </c>
      <c r="T32">
        <f t="shared" si="14"/>
        <v>-7280</v>
      </c>
      <c r="U32">
        <f t="shared" si="15"/>
        <v>224</v>
      </c>
      <c r="V32">
        <f t="shared" si="16"/>
        <v>-123</v>
      </c>
      <c r="W32">
        <f t="shared" si="17"/>
        <v>32</v>
      </c>
      <c r="X32">
        <f t="shared" si="18"/>
        <v>177</v>
      </c>
    </row>
    <row r="33" spans="2:24" x14ac:dyDescent="0.15">
      <c r="B33">
        <v>29</v>
      </c>
      <c r="C33">
        <f t="shared" si="1"/>
        <v>4.5553093477052</v>
      </c>
      <c r="D33">
        <f t="shared" si="2"/>
        <v>-0.98768834059513766</v>
      </c>
      <c r="E33">
        <f t="shared" si="3"/>
        <v>-1.0343048116166593</v>
      </c>
      <c r="F33">
        <f t="shared" si="4"/>
        <v>-0.85950723702374798</v>
      </c>
      <c r="G33">
        <f t="shared" si="5"/>
        <v>590</v>
      </c>
      <c r="H33">
        <f t="shared" si="6"/>
        <v>-251.10926984401129</v>
      </c>
      <c r="I33">
        <v>211</v>
      </c>
      <c r="J33">
        <v>80</v>
      </c>
      <c r="K33">
        <f t="shared" si="0"/>
        <v>-0.51715240580832966</v>
      </c>
      <c r="L33">
        <f t="shared" si="7"/>
        <v>222</v>
      </c>
      <c r="M33">
        <f t="shared" si="8"/>
        <v>-127</v>
      </c>
      <c r="N33">
        <f t="shared" si="9"/>
        <v>127</v>
      </c>
      <c r="O33">
        <f t="shared" si="10"/>
        <v>222</v>
      </c>
      <c r="P33">
        <v>1</v>
      </c>
      <c r="Q33">
        <f t="shared" si="11"/>
        <v>18694</v>
      </c>
      <c r="R33">
        <f t="shared" si="12"/>
        <v>10320</v>
      </c>
      <c r="S33">
        <f t="shared" si="13"/>
        <v>8534</v>
      </c>
      <c r="T33">
        <f t="shared" si="14"/>
        <v>-7440</v>
      </c>
      <c r="U33">
        <f t="shared" si="15"/>
        <v>222</v>
      </c>
      <c r="V33">
        <f t="shared" si="16"/>
        <v>-127</v>
      </c>
      <c r="W33">
        <f t="shared" si="17"/>
        <v>33</v>
      </c>
      <c r="X33">
        <f t="shared" si="18"/>
        <v>177</v>
      </c>
    </row>
    <row r="34" spans="2:24" x14ac:dyDescent="0.15">
      <c r="B34">
        <v>30</v>
      </c>
      <c r="C34">
        <f t="shared" si="1"/>
        <v>4.7123889803846897</v>
      </c>
      <c r="D34">
        <f t="shared" si="2"/>
        <v>-1</v>
      </c>
      <c r="E34">
        <f t="shared" si="3"/>
        <v>-1.0471975511965976</v>
      </c>
      <c r="F34">
        <f t="shared" si="4"/>
        <v>-0.8660254037844386</v>
      </c>
      <c r="G34">
        <f t="shared" si="5"/>
        <v>610</v>
      </c>
      <c r="H34">
        <f t="shared" si="6"/>
        <v>-272.27549630850751</v>
      </c>
      <c r="I34">
        <v>211</v>
      </c>
      <c r="J34">
        <v>80</v>
      </c>
      <c r="K34">
        <f t="shared" si="0"/>
        <v>-0.52359877559829882</v>
      </c>
      <c r="L34">
        <f t="shared" si="7"/>
        <v>221</v>
      </c>
      <c r="M34">
        <f t="shared" si="8"/>
        <v>-128</v>
      </c>
      <c r="N34">
        <f t="shared" si="9"/>
        <v>128</v>
      </c>
      <c r="O34">
        <f t="shared" si="10"/>
        <v>221</v>
      </c>
      <c r="P34">
        <v>1</v>
      </c>
      <c r="Q34">
        <f t="shared" si="11"/>
        <v>18905</v>
      </c>
      <c r="R34">
        <f t="shared" si="12"/>
        <v>10240</v>
      </c>
      <c r="S34">
        <f t="shared" si="13"/>
        <v>8665</v>
      </c>
      <c r="T34">
        <f t="shared" si="14"/>
        <v>-7440</v>
      </c>
      <c r="U34">
        <f t="shared" si="15"/>
        <v>221</v>
      </c>
      <c r="V34">
        <f t="shared" si="16"/>
        <v>-128</v>
      </c>
      <c r="W34">
        <f t="shared" si="17"/>
        <v>33</v>
      </c>
      <c r="X34">
        <f t="shared" si="18"/>
        <v>177</v>
      </c>
    </row>
    <row r="35" spans="2:24" x14ac:dyDescent="0.15">
      <c r="B35">
        <v>31</v>
      </c>
      <c r="C35">
        <f t="shared" si="1"/>
        <v>4.8694686130641802</v>
      </c>
      <c r="D35">
        <f t="shared" si="2"/>
        <v>-0.98768834059513766</v>
      </c>
      <c r="E35">
        <f t="shared" si="3"/>
        <v>-1.0343048116166593</v>
      </c>
      <c r="F35">
        <f t="shared" si="4"/>
        <v>-0.85950723702374798</v>
      </c>
      <c r="G35">
        <f t="shared" si="5"/>
        <v>630</v>
      </c>
      <c r="H35">
        <f t="shared" si="6"/>
        <v>-285.48955932496119</v>
      </c>
      <c r="I35">
        <v>211</v>
      </c>
      <c r="J35">
        <v>80</v>
      </c>
      <c r="K35">
        <f t="shared" si="0"/>
        <v>-0.51715240580832966</v>
      </c>
      <c r="L35">
        <f t="shared" si="7"/>
        <v>222</v>
      </c>
      <c r="M35">
        <f t="shared" si="8"/>
        <v>-127</v>
      </c>
      <c r="N35">
        <f t="shared" si="9"/>
        <v>127</v>
      </c>
      <c r="O35">
        <f t="shared" si="10"/>
        <v>222</v>
      </c>
      <c r="P35">
        <v>1</v>
      </c>
      <c r="Q35">
        <f t="shared" si="11"/>
        <v>18694</v>
      </c>
      <c r="R35">
        <f t="shared" si="12"/>
        <v>10320</v>
      </c>
      <c r="S35">
        <f t="shared" si="13"/>
        <v>8534</v>
      </c>
      <c r="T35">
        <f t="shared" si="14"/>
        <v>-7440</v>
      </c>
      <c r="U35">
        <f t="shared" si="15"/>
        <v>222</v>
      </c>
      <c r="V35">
        <f t="shared" si="16"/>
        <v>-127</v>
      </c>
      <c r="W35">
        <f t="shared" si="17"/>
        <v>33</v>
      </c>
      <c r="X35">
        <f t="shared" si="18"/>
        <v>177</v>
      </c>
    </row>
    <row r="36" spans="2:24" x14ac:dyDescent="0.15">
      <c r="B36">
        <v>32</v>
      </c>
      <c r="C36">
        <f t="shared" si="1"/>
        <v>5.026548245743669</v>
      </c>
      <c r="D36">
        <f t="shared" si="2"/>
        <v>-0.95105651629515364</v>
      </c>
      <c r="E36">
        <f t="shared" si="3"/>
        <v>-0.99594405491385196</v>
      </c>
      <c r="F36">
        <f t="shared" si="4"/>
        <v>-0.83927263295391474</v>
      </c>
      <c r="G36">
        <f t="shared" si="5"/>
        <v>650</v>
      </c>
      <c r="H36">
        <f t="shared" si="6"/>
        <v>-289.52721142004464</v>
      </c>
      <c r="I36">
        <v>211</v>
      </c>
      <c r="J36">
        <v>80</v>
      </c>
      <c r="K36">
        <f t="shared" si="0"/>
        <v>-0.49797202745692598</v>
      </c>
      <c r="L36">
        <f t="shared" si="7"/>
        <v>224</v>
      </c>
      <c r="M36">
        <f t="shared" si="8"/>
        <v>-123</v>
      </c>
      <c r="N36">
        <f t="shared" si="9"/>
        <v>123</v>
      </c>
      <c r="O36">
        <f t="shared" si="10"/>
        <v>224</v>
      </c>
      <c r="P36">
        <v>1</v>
      </c>
      <c r="Q36">
        <f t="shared" si="11"/>
        <v>18272</v>
      </c>
      <c r="R36">
        <f t="shared" si="12"/>
        <v>10640</v>
      </c>
      <c r="S36">
        <f t="shared" si="13"/>
        <v>8432</v>
      </c>
      <c r="T36">
        <f t="shared" si="14"/>
        <v>-7280</v>
      </c>
      <c r="U36">
        <f t="shared" si="15"/>
        <v>224</v>
      </c>
      <c r="V36">
        <f t="shared" si="16"/>
        <v>-123</v>
      </c>
      <c r="W36">
        <f t="shared" si="17"/>
        <v>32</v>
      </c>
      <c r="X36">
        <f t="shared" si="18"/>
        <v>177</v>
      </c>
    </row>
    <row r="37" spans="2:24" x14ac:dyDescent="0.15">
      <c r="B37">
        <v>33</v>
      </c>
      <c r="C37">
        <f t="shared" si="1"/>
        <v>5.1836278784231586</v>
      </c>
      <c r="D37">
        <f t="shared" si="2"/>
        <v>-0.8910065241883679</v>
      </c>
      <c r="E37">
        <f t="shared" si="3"/>
        <v>-0.93305985023025106</v>
      </c>
      <c r="F37">
        <f t="shared" si="4"/>
        <v>-0.80344546782369186</v>
      </c>
      <c r="G37">
        <f t="shared" si="5"/>
        <v>670</v>
      </c>
      <c r="H37">
        <f t="shared" si="6"/>
        <v>-282.30846344187353</v>
      </c>
      <c r="I37">
        <v>211</v>
      </c>
      <c r="J37">
        <v>80</v>
      </c>
      <c r="K37">
        <f t="shared" si="0"/>
        <v>-0.46652992511512553</v>
      </c>
      <c r="L37">
        <f t="shared" si="7"/>
        <v>228</v>
      </c>
      <c r="M37">
        <f t="shared" si="8"/>
        <v>-116</v>
      </c>
      <c r="N37">
        <f t="shared" si="9"/>
        <v>116</v>
      </c>
      <c r="O37">
        <f t="shared" si="10"/>
        <v>228</v>
      </c>
      <c r="P37">
        <v>1</v>
      </c>
      <c r="Q37">
        <f t="shared" si="11"/>
        <v>17428</v>
      </c>
      <c r="R37">
        <f t="shared" si="12"/>
        <v>11200</v>
      </c>
      <c r="S37">
        <f t="shared" si="13"/>
        <v>8148</v>
      </c>
      <c r="T37">
        <f t="shared" si="14"/>
        <v>-7040</v>
      </c>
      <c r="U37">
        <f t="shared" si="15"/>
        <v>228</v>
      </c>
      <c r="V37">
        <f t="shared" si="16"/>
        <v>-116</v>
      </c>
      <c r="W37">
        <f t="shared" si="17"/>
        <v>31</v>
      </c>
      <c r="X37">
        <f t="shared" si="18"/>
        <v>178</v>
      </c>
    </row>
    <row r="38" spans="2:24" x14ac:dyDescent="0.15">
      <c r="B38">
        <v>34</v>
      </c>
      <c r="C38">
        <f t="shared" si="1"/>
        <v>5.3407075111026483</v>
      </c>
      <c r="D38">
        <f t="shared" si="2"/>
        <v>-0.80901699437494756</v>
      </c>
      <c r="E38">
        <f t="shared" si="3"/>
        <v>-0.84720061538587677</v>
      </c>
      <c r="F38">
        <f t="shared" si="4"/>
        <v>-0.74942991716629581</v>
      </c>
      <c r="G38">
        <f t="shared" si="5"/>
        <v>690</v>
      </c>
      <c r="H38">
        <f t="shared" si="6"/>
        <v>-261.1066428447441</v>
      </c>
      <c r="I38">
        <v>211</v>
      </c>
      <c r="J38">
        <v>80</v>
      </c>
      <c r="K38">
        <f t="shared" si="0"/>
        <v>-0.42360030769293838</v>
      </c>
      <c r="L38">
        <f t="shared" si="7"/>
        <v>233</v>
      </c>
      <c r="M38">
        <f t="shared" si="8"/>
        <v>-106</v>
      </c>
      <c r="N38">
        <f t="shared" si="9"/>
        <v>106</v>
      </c>
      <c r="O38">
        <f t="shared" si="10"/>
        <v>233</v>
      </c>
      <c r="P38">
        <v>1</v>
      </c>
      <c r="Q38">
        <f t="shared" si="11"/>
        <v>16373</v>
      </c>
      <c r="R38">
        <f t="shared" si="12"/>
        <v>12000</v>
      </c>
      <c r="S38">
        <f t="shared" si="13"/>
        <v>7893</v>
      </c>
      <c r="T38">
        <f t="shared" si="14"/>
        <v>-6640</v>
      </c>
      <c r="U38">
        <f t="shared" si="15"/>
        <v>233</v>
      </c>
      <c r="V38">
        <f t="shared" si="16"/>
        <v>-106</v>
      </c>
      <c r="W38">
        <f t="shared" si="17"/>
        <v>30</v>
      </c>
      <c r="X38">
        <f t="shared" si="18"/>
        <v>179</v>
      </c>
    </row>
    <row r="39" spans="2:24" x14ac:dyDescent="0.15">
      <c r="B39">
        <v>35</v>
      </c>
      <c r="C39">
        <f t="shared" si="1"/>
        <v>5.497787143782138</v>
      </c>
      <c r="D39">
        <f t="shared" si="2"/>
        <v>-0.70710678118654768</v>
      </c>
      <c r="E39">
        <f t="shared" si="3"/>
        <v>-0.74048048969306113</v>
      </c>
      <c r="F39">
        <f t="shared" si="4"/>
        <v>-0.67464266030907127</v>
      </c>
      <c r="G39">
        <f t="shared" si="5"/>
        <v>710</v>
      </c>
      <c r="H39">
        <f t="shared" si="6"/>
        <v>-222.99628881944062</v>
      </c>
      <c r="I39">
        <v>211</v>
      </c>
      <c r="J39">
        <v>80</v>
      </c>
      <c r="K39">
        <f t="shared" si="0"/>
        <v>-0.37024024484653056</v>
      </c>
      <c r="L39">
        <f t="shared" si="7"/>
        <v>238</v>
      </c>
      <c r="M39">
        <f t="shared" si="8"/>
        <v>-93</v>
      </c>
      <c r="N39">
        <f t="shared" si="9"/>
        <v>93</v>
      </c>
      <c r="O39">
        <f t="shared" si="10"/>
        <v>238</v>
      </c>
      <c r="P39">
        <v>1</v>
      </c>
      <c r="Q39">
        <f t="shared" si="11"/>
        <v>15318</v>
      </c>
      <c r="R39">
        <f t="shared" si="12"/>
        <v>13040</v>
      </c>
      <c r="S39">
        <f t="shared" si="13"/>
        <v>7878</v>
      </c>
      <c r="T39">
        <f t="shared" si="14"/>
        <v>-6000</v>
      </c>
      <c r="U39">
        <f t="shared" si="15"/>
        <v>238</v>
      </c>
      <c r="V39">
        <f t="shared" si="16"/>
        <v>-93</v>
      </c>
      <c r="W39">
        <f t="shared" si="17"/>
        <v>30</v>
      </c>
      <c r="X39">
        <f t="shared" si="18"/>
        <v>180</v>
      </c>
    </row>
    <row r="40" spans="2:24" x14ac:dyDescent="0.15">
      <c r="B40">
        <v>36</v>
      </c>
      <c r="C40">
        <f t="shared" si="1"/>
        <v>5.6548667764616267</v>
      </c>
      <c r="D40">
        <f t="shared" si="2"/>
        <v>-0.58778525229247403</v>
      </c>
      <c r="E40">
        <f t="shared" si="3"/>
        <v>-0.61552727683015318</v>
      </c>
      <c r="F40">
        <f t="shared" si="4"/>
        <v>-0.5773891077762271</v>
      </c>
      <c r="G40">
        <f t="shared" si="5"/>
        <v>730</v>
      </c>
      <c r="H40">
        <f t="shared" si="6"/>
        <v>-165.49404867664578</v>
      </c>
      <c r="I40">
        <v>211</v>
      </c>
      <c r="J40">
        <v>80</v>
      </c>
      <c r="K40">
        <f t="shared" si="0"/>
        <v>-0.30776363841507659</v>
      </c>
      <c r="L40">
        <f t="shared" si="7"/>
        <v>243</v>
      </c>
      <c r="M40">
        <f t="shared" si="8"/>
        <v>-78</v>
      </c>
      <c r="N40">
        <f t="shared" si="9"/>
        <v>78</v>
      </c>
      <c r="O40">
        <f t="shared" si="10"/>
        <v>243</v>
      </c>
      <c r="P40">
        <v>1</v>
      </c>
      <c r="Q40">
        <f t="shared" si="11"/>
        <v>14263</v>
      </c>
      <c r="R40">
        <f t="shared" si="12"/>
        <v>14240</v>
      </c>
      <c r="S40">
        <f t="shared" si="13"/>
        <v>8023</v>
      </c>
      <c r="T40">
        <f t="shared" si="14"/>
        <v>-5200</v>
      </c>
      <c r="U40">
        <f t="shared" si="15"/>
        <v>243</v>
      </c>
      <c r="V40">
        <f t="shared" si="16"/>
        <v>-78</v>
      </c>
      <c r="W40">
        <f t="shared" si="17"/>
        <v>31</v>
      </c>
      <c r="X40">
        <f t="shared" si="18"/>
        <v>181</v>
      </c>
    </row>
    <row r="41" spans="2:24" x14ac:dyDescent="0.15">
      <c r="B41">
        <v>37</v>
      </c>
      <c r="C41">
        <f t="shared" si="1"/>
        <v>5.8119464091411173</v>
      </c>
      <c r="D41">
        <f t="shared" si="2"/>
        <v>-0.45399049973954697</v>
      </c>
      <c r="E41">
        <f t="shared" si="3"/>
        <v>-0.47541773959377326</v>
      </c>
      <c r="F41">
        <f t="shared" si="4"/>
        <v>-0.45770990004419204</v>
      </c>
      <c r="G41">
        <f t="shared" si="5"/>
        <v>750</v>
      </c>
      <c r="H41">
        <f t="shared" si="6"/>
        <v>-87.282425033144023</v>
      </c>
      <c r="I41">
        <v>211</v>
      </c>
      <c r="J41">
        <v>80</v>
      </c>
      <c r="K41">
        <f t="shared" si="0"/>
        <v>-0.23770886979688663</v>
      </c>
      <c r="L41">
        <f t="shared" si="7"/>
        <v>248</v>
      </c>
      <c r="M41">
        <f t="shared" si="8"/>
        <v>-61</v>
      </c>
      <c r="N41">
        <f t="shared" si="9"/>
        <v>61</v>
      </c>
      <c r="O41">
        <f t="shared" si="10"/>
        <v>248</v>
      </c>
      <c r="P41">
        <v>1</v>
      </c>
      <c r="Q41">
        <f t="shared" si="11"/>
        <v>13208</v>
      </c>
      <c r="R41">
        <f t="shared" si="12"/>
        <v>15600</v>
      </c>
      <c r="S41">
        <f t="shared" si="13"/>
        <v>8328</v>
      </c>
      <c r="T41">
        <f t="shared" si="14"/>
        <v>-4240</v>
      </c>
      <c r="U41">
        <f t="shared" si="15"/>
        <v>248</v>
      </c>
      <c r="V41">
        <f t="shared" si="16"/>
        <v>-61</v>
      </c>
      <c r="W41">
        <f t="shared" si="17"/>
        <v>32</v>
      </c>
      <c r="X41">
        <f t="shared" si="18"/>
        <v>183</v>
      </c>
    </row>
    <row r="42" spans="2:24" x14ac:dyDescent="0.15">
      <c r="B42">
        <v>38</v>
      </c>
      <c r="C42">
        <f t="shared" si="1"/>
        <v>5.9690260418206069</v>
      </c>
      <c r="D42">
        <f t="shared" si="2"/>
        <v>-0.30901699437494762</v>
      </c>
      <c r="E42">
        <f t="shared" si="3"/>
        <v>-0.32360183978757795</v>
      </c>
      <c r="F42">
        <f t="shared" si="4"/>
        <v>-0.31798350664708552</v>
      </c>
      <c r="G42">
        <f t="shared" si="5"/>
        <v>770</v>
      </c>
      <c r="H42">
        <f t="shared" si="6"/>
        <v>11.152699881744155</v>
      </c>
      <c r="I42">
        <v>211</v>
      </c>
      <c r="J42">
        <v>80</v>
      </c>
      <c r="K42">
        <f t="shared" si="0"/>
        <v>-0.16180091989378897</v>
      </c>
      <c r="L42">
        <f t="shared" si="7"/>
        <v>252</v>
      </c>
      <c r="M42">
        <f t="shared" si="8"/>
        <v>-42</v>
      </c>
      <c r="N42">
        <f t="shared" si="9"/>
        <v>42</v>
      </c>
      <c r="O42">
        <f t="shared" si="10"/>
        <v>252</v>
      </c>
      <c r="P42">
        <v>1</v>
      </c>
      <c r="Q42">
        <f t="shared" si="11"/>
        <v>12364</v>
      </c>
      <c r="R42">
        <f t="shared" si="12"/>
        <v>17120</v>
      </c>
      <c r="S42">
        <f t="shared" si="13"/>
        <v>9004</v>
      </c>
      <c r="T42">
        <f t="shared" si="14"/>
        <v>-3040</v>
      </c>
      <c r="U42">
        <f t="shared" si="15"/>
        <v>252</v>
      </c>
      <c r="V42">
        <f t="shared" si="16"/>
        <v>-42</v>
      </c>
      <c r="W42">
        <f t="shared" si="17"/>
        <v>35</v>
      </c>
      <c r="X42">
        <f t="shared" si="18"/>
        <v>186</v>
      </c>
    </row>
    <row r="43" spans="2:24" x14ac:dyDescent="0.15">
      <c r="B43">
        <v>39</v>
      </c>
      <c r="C43">
        <f t="shared" si="1"/>
        <v>6.1261056745000975</v>
      </c>
      <c r="D43">
        <f t="shared" si="2"/>
        <v>-0.15643446504023023</v>
      </c>
      <c r="E43">
        <f t="shared" si="3"/>
        <v>-0.16381778871287886</v>
      </c>
      <c r="F43">
        <f t="shared" si="4"/>
        <v>-0.16308606156716021</v>
      </c>
      <c r="G43">
        <f t="shared" si="5"/>
        <v>790</v>
      </c>
      <c r="H43">
        <f t="shared" si="6"/>
        <v>127.16201136194343</v>
      </c>
      <c r="I43">
        <v>211</v>
      </c>
      <c r="J43">
        <v>80</v>
      </c>
      <c r="K43">
        <f t="shared" si="0"/>
        <v>-8.190889435643943E-2</v>
      </c>
      <c r="L43">
        <f t="shared" si="7"/>
        <v>255</v>
      </c>
      <c r="M43">
        <f t="shared" si="8"/>
        <v>-21</v>
      </c>
      <c r="N43">
        <f t="shared" si="9"/>
        <v>21</v>
      </c>
      <c r="O43">
        <f t="shared" si="10"/>
        <v>255</v>
      </c>
      <c r="P43">
        <v>1</v>
      </c>
      <c r="Q43">
        <f t="shared" si="11"/>
        <v>11731</v>
      </c>
      <c r="R43">
        <f t="shared" si="12"/>
        <v>18800</v>
      </c>
      <c r="S43">
        <f t="shared" si="13"/>
        <v>10051</v>
      </c>
      <c r="T43">
        <f t="shared" si="14"/>
        <v>-1600</v>
      </c>
      <c r="U43">
        <f t="shared" si="15"/>
        <v>255</v>
      </c>
      <c r="V43">
        <f t="shared" si="16"/>
        <v>-21</v>
      </c>
      <c r="W43">
        <f t="shared" si="17"/>
        <v>39</v>
      </c>
      <c r="X43">
        <f t="shared" si="18"/>
        <v>188</v>
      </c>
    </row>
    <row r="44" spans="2:24" x14ac:dyDescent="0.15">
      <c r="B44">
        <v>40</v>
      </c>
      <c r="C44">
        <f t="shared" si="1"/>
        <v>6.2831853071795862</v>
      </c>
      <c r="D44">
        <f t="shared" si="2"/>
        <v>-2.45029690981724E-16</v>
      </c>
      <c r="E44">
        <f t="shared" si="3"/>
        <v>-2.5659449236652042E-16</v>
      </c>
      <c r="F44">
        <f t="shared" si="4"/>
        <v>-2.5659449236652042E-16</v>
      </c>
      <c r="G44">
        <f t="shared" si="5"/>
        <v>810</v>
      </c>
      <c r="H44">
        <f t="shared" si="6"/>
        <v>255.9999999999998</v>
      </c>
      <c r="I44">
        <v>211</v>
      </c>
      <c r="J44">
        <v>80</v>
      </c>
      <c r="K44">
        <f t="shared" si="0"/>
        <v>-1.2829724618326021E-16</v>
      </c>
      <c r="L44">
        <f t="shared" si="7"/>
        <v>256</v>
      </c>
      <c r="M44">
        <f t="shared" si="8"/>
        <v>-1</v>
      </c>
      <c r="N44">
        <f t="shared" si="9"/>
        <v>1</v>
      </c>
      <c r="O44">
        <f t="shared" si="10"/>
        <v>256</v>
      </c>
      <c r="P44">
        <v>1</v>
      </c>
      <c r="Q44">
        <f t="shared" si="11"/>
        <v>11520</v>
      </c>
      <c r="R44">
        <f t="shared" si="12"/>
        <v>20400</v>
      </c>
      <c r="S44">
        <f t="shared" si="13"/>
        <v>11440</v>
      </c>
      <c r="T44">
        <f t="shared" si="14"/>
        <v>-80</v>
      </c>
      <c r="U44">
        <f t="shared" si="15"/>
        <v>256</v>
      </c>
      <c r="V44">
        <f t="shared" si="16"/>
        <v>-1</v>
      </c>
      <c r="W44">
        <f t="shared" si="17"/>
        <v>44</v>
      </c>
      <c r="X44">
        <f t="shared" si="18"/>
        <v>191</v>
      </c>
    </row>
    <row r="45" spans="2:24" x14ac:dyDescent="0.15">
      <c r="B45">
        <v>41</v>
      </c>
      <c r="C45">
        <f t="shared" si="1"/>
        <v>6.440264939859075</v>
      </c>
      <c r="D45">
        <f t="shared" si="2"/>
        <v>0.15643446504022973</v>
      </c>
      <c r="E45">
        <f t="shared" si="3"/>
        <v>0.16381778871287836</v>
      </c>
      <c r="F45">
        <f t="shared" si="4"/>
        <v>0.16308606156715971</v>
      </c>
      <c r="G45">
        <f t="shared" si="5"/>
        <v>830</v>
      </c>
      <c r="H45">
        <f t="shared" si="6"/>
        <v>391.36143110074255</v>
      </c>
      <c r="I45">
        <v>211</v>
      </c>
      <c r="J45">
        <v>80</v>
      </c>
      <c r="K45">
        <f t="shared" si="0"/>
        <v>8.190889435643918E-2</v>
      </c>
      <c r="L45">
        <f t="shared" si="7"/>
        <v>255</v>
      </c>
      <c r="M45">
        <f t="shared" si="8"/>
        <v>20</v>
      </c>
      <c r="N45">
        <f t="shared" si="9"/>
        <v>-20</v>
      </c>
      <c r="O45">
        <f t="shared" si="10"/>
        <v>255</v>
      </c>
      <c r="P45">
        <v>1</v>
      </c>
      <c r="Q45">
        <f t="shared" si="11"/>
        <v>11731</v>
      </c>
      <c r="R45">
        <f t="shared" si="12"/>
        <v>22080</v>
      </c>
      <c r="S45">
        <f t="shared" si="13"/>
        <v>13331</v>
      </c>
      <c r="T45">
        <f t="shared" si="14"/>
        <v>1680</v>
      </c>
      <c r="U45">
        <f t="shared" si="15"/>
        <v>255</v>
      </c>
      <c r="V45">
        <f t="shared" si="16"/>
        <v>20</v>
      </c>
      <c r="W45">
        <f t="shared" si="17"/>
        <v>52</v>
      </c>
      <c r="X45">
        <f t="shared" si="18"/>
        <v>195</v>
      </c>
    </row>
    <row r="46" spans="2:24" x14ac:dyDescent="0.15">
      <c r="B46">
        <v>42</v>
      </c>
      <c r="C46">
        <f t="shared" si="1"/>
        <v>6.5973445725385647</v>
      </c>
      <c r="D46">
        <f t="shared" si="2"/>
        <v>0.30901699437494634</v>
      </c>
      <c r="E46">
        <f t="shared" si="3"/>
        <v>0.32360183978757662</v>
      </c>
      <c r="F46">
        <f t="shared" si="4"/>
        <v>0.31798350664708425</v>
      </c>
      <c r="G46">
        <f t="shared" si="5"/>
        <v>850</v>
      </c>
      <c r="H46">
        <f t="shared" si="6"/>
        <v>526.28598065002166</v>
      </c>
      <c r="I46">
        <v>211</v>
      </c>
      <c r="J46">
        <v>80</v>
      </c>
      <c r="K46">
        <f t="shared" si="0"/>
        <v>0.16180091989378831</v>
      </c>
      <c r="L46">
        <f t="shared" si="7"/>
        <v>252</v>
      </c>
      <c r="M46">
        <f t="shared" si="8"/>
        <v>41</v>
      </c>
      <c r="N46">
        <f t="shared" si="9"/>
        <v>-41</v>
      </c>
      <c r="O46">
        <f t="shared" si="10"/>
        <v>252</v>
      </c>
      <c r="P46">
        <v>1</v>
      </c>
      <c r="Q46">
        <f t="shared" si="11"/>
        <v>12364</v>
      </c>
      <c r="R46">
        <f t="shared" si="12"/>
        <v>23760</v>
      </c>
      <c r="S46">
        <f t="shared" si="13"/>
        <v>15644</v>
      </c>
      <c r="T46">
        <f t="shared" si="14"/>
        <v>3600</v>
      </c>
      <c r="U46">
        <f t="shared" si="15"/>
        <v>252</v>
      </c>
      <c r="V46">
        <f t="shared" si="16"/>
        <v>41</v>
      </c>
      <c r="W46">
        <f t="shared" si="17"/>
        <v>61</v>
      </c>
      <c r="X46">
        <f t="shared" si="18"/>
        <v>199</v>
      </c>
    </row>
    <row r="47" spans="2:24" x14ac:dyDescent="0.15">
      <c r="B47">
        <v>43</v>
      </c>
      <c r="C47">
        <f t="shared" si="1"/>
        <v>6.7544242052180552</v>
      </c>
      <c r="D47">
        <f t="shared" si="2"/>
        <v>0.45399049973954658</v>
      </c>
      <c r="E47">
        <f t="shared" si="3"/>
        <v>0.47541773959377281</v>
      </c>
      <c r="F47">
        <f t="shared" si="4"/>
        <v>0.45770990004419165</v>
      </c>
      <c r="G47">
        <f t="shared" si="5"/>
        <v>870</v>
      </c>
      <c r="H47">
        <f t="shared" si="6"/>
        <v>654.20761303844677</v>
      </c>
      <c r="I47">
        <v>211</v>
      </c>
      <c r="J47">
        <v>80</v>
      </c>
      <c r="K47">
        <f t="shared" si="0"/>
        <v>0.23770886979688641</v>
      </c>
      <c r="L47">
        <f t="shared" si="7"/>
        <v>248</v>
      </c>
      <c r="M47">
        <f t="shared" si="8"/>
        <v>60</v>
      </c>
      <c r="N47">
        <f t="shared" si="9"/>
        <v>-60</v>
      </c>
      <c r="O47">
        <f t="shared" si="10"/>
        <v>248</v>
      </c>
      <c r="P47">
        <v>1</v>
      </c>
      <c r="Q47">
        <f t="shared" si="11"/>
        <v>13208</v>
      </c>
      <c r="R47">
        <f t="shared" si="12"/>
        <v>25280</v>
      </c>
      <c r="S47">
        <f t="shared" si="13"/>
        <v>18008</v>
      </c>
      <c r="T47">
        <f t="shared" si="14"/>
        <v>5440</v>
      </c>
      <c r="U47">
        <f t="shared" si="15"/>
        <v>248</v>
      </c>
      <c r="V47">
        <f t="shared" si="16"/>
        <v>60</v>
      </c>
      <c r="W47">
        <f t="shared" si="17"/>
        <v>70</v>
      </c>
      <c r="X47">
        <f t="shared" si="18"/>
        <v>202</v>
      </c>
    </row>
    <row r="48" spans="2:24" x14ac:dyDescent="0.15">
      <c r="B48">
        <v>44</v>
      </c>
      <c r="C48">
        <f t="shared" si="1"/>
        <v>6.911503837897544</v>
      </c>
      <c r="D48">
        <f t="shared" si="2"/>
        <v>0.58778525229247214</v>
      </c>
      <c r="E48">
        <f t="shared" si="3"/>
        <v>0.61552727683015118</v>
      </c>
      <c r="F48">
        <f t="shared" si="4"/>
        <v>0.57738910777622543</v>
      </c>
      <c r="G48">
        <f t="shared" si="5"/>
        <v>890</v>
      </c>
      <c r="H48">
        <f t="shared" si="6"/>
        <v>769.87630592084065</v>
      </c>
      <c r="I48">
        <v>211</v>
      </c>
      <c r="J48">
        <v>80</v>
      </c>
      <c r="K48">
        <f t="shared" si="0"/>
        <v>0.30776363841507559</v>
      </c>
      <c r="L48">
        <f t="shared" si="7"/>
        <v>243</v>
      </c>
      <c r="M48">
        <f t="shared" si="8"/>
        <v>77</v>
      </c>
      <c r="N48">
        <f t="shared" si="9"/>
        <v>-77</v>
      </c>
      <c r="O48">
        <f t="shared" si="10"/>
        <v>243</v>
      </c>
      <c r="P48">
        <v>1</v>
      </c>
      <c r="Q48">
        <f t="shared" si="11"/>
        <v>14263</v>
      </c>
      <c r="R48">
        <f t="shared" si="12"/>
        <v>26640</v>
      </c>
      <c r="S48">
        <f t="shared" si="13"/>
        <v>20423</v>
      </c>
      <c r="T48">
        <f t="shared" si="14"/>
        <v>7200</v>
      </c>
      <c r="U48">
        <f t="shared" si="15"/>
        <v>243</v>
      </c>
      <c r="V48">
        <f t="shared" si="16"/>
        <v>77</v>
      </c>
      <c r="W48">
        <f t="shared" si="17"/>
        <v>79</v>
      </c>
      <c r="X48">
        <f t="shared" si="18"/>
        <v>206</v>
      </c>
    </row>
    <row r="49" spans="2:24" x14ac:dyDescent="0.15">
      <c r="B49">
        <v>45</v>
      </c>
      <c r="C49">
        <f t="shared" si="1"/>
        <v>7.0685834705770345</v>
      </c>
      <c r="D49">
        <f t="shared" si="2"/>
        <v>0.70710678118654735</v>
      </c>
      <c r="E49">
        <f t="shared" si="3"/>
        <v>0.74048048969306091</v>
      </c>
      <c r="F49">
        <f t="shared" si="4"/>
        <v>0.67464266030907105</v>
      </c>
      <c r="G49">
        <f t="shared" si="5"/>
        <v>910</v>
      </c>
      <c r="H49">
        <f t="shared" si="6"/>
        <v>869.92482088125462</v>
      </c>
      <c r="I49">
        <v>211</v>
      </c>
      <c r="J49">
        <v>80</v>
      </c>
      <c r="K49">
        <f t="shared" si="0"/>
        <v>0.37024024484653045</v>
      </c>
      <c r="L49">
        <f t="shared" si="7"/>
        <v>238</v>
      </c>
      <c r="M49">
        <f t="shared" si="8"/>
        <v>92</v>
      </c>
      <c r="N49">
        <f t="shared" si="9"/>
        <v>-92</v>
      </c>
      <c r="O49">
        <f t="shared" si="10"/>
        <v>238</v>
      </c>
      <c r="P49">
        <v>1</v>
      </c>
      <c r="Q49">
        <f t="shared" si="11"/>
        <v>15318</v>
      </c>
      <c r="R49">
        <f t="shared" si="12"/>
        <v>27840</v>
      </c>
      <c r="S49">
        <f t="shared" si="13"/>
        <v>22678</v>
      </c>
      <c r="T49">
        <f t="shared" si="14"/>
        <v>8800</v>
      </c>
      <c r="U49">
        <f t="shared" si="15"/>
        <v>238</v>
      </c>
      <c r="V49">
        <f t="shared" si="16"/>
        <v>92</v>
      </c>
      <c r="W49">
        <f t="shared" si="17"/>
        <v>88</v>
      </c>
      <c r="X49">
        <f t="shared" si="18"/>
        <v>209</v>
      </c>
    </row>
    <row r="50" spans="2:24" x14ac:dyDescent="0.15">
      <c r="B50">
        <v>46</v>
      </c>
      <c r="C50">
        <f t="shared" si="1"/>
        <v>7.2256631032565251</v>
      </c>
      <c r="D50">
        <f t="shared" si="2"/>
        <v>0.80901699437494778</v>
      </c>
      <c r="E50">
        <f t="shared" si="3"/>
        <v>0.84720061538587699</v>
      </c>
      <c r="F50">
        <f t="shared" si="4"/>
        <v>0.74942991716629603</v>
      </c>
      <c r="G50">
        <f t="shared" si="5"/>
        <v>930</v>
      </c>
      <c r="H50">
        <f t="shared" si="6"/>
        <v>952.96982296465535</v>
      </c>
      <c r="I50">
        <v>211</v>
      </c>
      <c r="J50">
        <v>80</v>
      </c>
      <c r="K50">
        <f t="shared" si="0"/>
        <v>0.42360030769293849</v>
      </c>
      <c r="L50">
        <f t="shared" si="7"/>
        <v>233</v>
      </c>
      <c r="M50">
        <f t="shared" si="8"/>
        <v>105</v>
      </c>
      <c r="N50">
        <f t="shared" si="9"/>
        <v>-105</v>
      </c>
      <c r="O50">
        <f t="shared" si="10"/>
        <v>233</v>
      </c>
      <c r="P50">
        <v>1</v>
      </c>
      <c r="Q50">
        <f t="shared" si="11"/>
        <v>16373</v>
      </c>
      <c r="R50">
        <f t="shared" si="12"/>
        <v>28880</v>
      </c>
      <c r="S50">
        <f t="shared" si="13"/>
        <v>24773</v>
      </c>
      <c r="T50">
        <f t="shared" si="14"/>
        <v>10240</v>
      </c>
      <c r="U50">
        <f t="shared" si="15"/>
        <v>233</v>
      </c>
      <c r="V50">
        <f t="shared" si="16"/>
        <v>105</v>
      </c>
      <c r="W50">
        <f t="shared" si="17"/>
        <v>96</v>
      </c>
      <c r="X50">
        <f t="shared" si="18"/>
        <v>212</v>
      </c>
    </row>
    <row r="51" spans="2:24" x14ac:dyDescent="0.15">
      <c r="B51">
        <v>47</v>
      </c>
      <c r="C51">
        <f t="shared" si="1"/>
        <v>7.3827427359360138</v>
      </c>
      <c r="D51">
        <f t="shared" si="2"/>
        <v>0.89100652418836768</v>
      </c>
      <c r="E51">
        <f t="shared" si="3"/>
        <v>0.93305985023025073</v>
      </c>
      <c r="F51">
        <f t="shared" si="4"/>
        <v>0.80344546782369164</v>
      </c>
      <c r="G51">
        <f t="shared" si="5"/>
        <v>950</v>
      </c>
      <c r="H51">
        <f t="shared" si="6"/>
        <v>1019.273194432507</v>
      </c>
      <c r="I51">
        <v>211</v>
      </c>
      <c r="J51">
        <v>80</v>
      </c>
      <c r="K51">
        <f t="shared" si="0"/>
        <v>0.46652992511512537</v>
      </c>
      <c r="L51">
        <f t="shared" si="7"/>
        <v>228</v>
      </c>
      <c r="M51">
        <f t="shared" si="8"/>
        <v>115</v>
      </c>
      <c r="N51">
        <f t="shared" si="9"/>
        <v>-115</v>
      </c>
      <c r="O51">
        <f t="shared" si="10"/>
        <v>228</v>
      </c>
      <c r="P51">
        <v>1</v>
      </c>
      <c r="Q51">
        <f t="shared" si="11"/>
        <v>17428</v>
      </c>
      <c r="R51">
        <f t="shared" si="12"/>
        <v>29680</v>
      </c>
      <c r="S51">
        <f t="shared" si="13"/>
        <v>26628</v>
      </c>
      <c r="T51">
        <f t="shared" si="14"/>
        <v>11440</v>
      </c>
      <c r="U51">
        <f t="shared" si="15"/>
        <v>228</v>
      </c>
      <c r="V51">
        <f t="shared" si="16"/>
        <v>115</v>
      </c>
      <c r="W51">
        <f t="shared" si="17"/>
        <v>104</v>
      </c>
      <c r="X51">
        <f t="shared" si="18"/>
        <v>214</v>
      </c>
    </row>
    <row r="52" spans="2:24" x14ac:dyDescent="0.15">
      <c r="B52">
        <v>48</v>
      </c>
      <c r="C52">
        <f t="shared" si="1"/>
        <v>7.5398223686155044</v>
      </c>
      <c r="D52">
        <f t="shared" si="2"/>
        <v>0.95105651629515375</v>
      </c>
      <c r="E52">
        <f t="shared" si="3"/>
        <v>0.99594405491385218</v>
      </c>
      <c r="F52">
        <f t="shared" si="4"/>
        <v>0.83927263295391485</v>
      </c>
      <c r="G52">
        <f t="shared" si="5"/>
        <v>970</v>
      </c>
      <c r="H52">
        <f t="shared" si="6"/>
        <v>1070.0944539652974</v>
      </c>
      <c r="I52">
        <v>211</v>
      </c>
      <c r="J52">
        <v>80</v>
      </c>
      <c r="K52">
        <f t="shared" si="0"/>
        <v>0.49797202745692609</v>
      </c>
      <c r="L52">
        <f t="shared" si="7"/>
        <v>224</v>
      </c>
      <c r="M52">
        <f t="shared" si="8"/>
        <v>122</v>
      </c>
      <c r="N52">
        <f t="shared" si="9"/>
        <v>-122</v>
      </c>
      <c r="O52">
        <f t="shared" si="10"/>
        <v>224</v>
      </c>
      <c r="P52">
        <v>1</v>
      </c>
      <c r="Q52">
        <f t="shared" si="11"/>
        <v>18272</v>
      </c>
      <c r="R52">
        <f t="shared" si="12"/>
        <v>30240</v>
      </c>
      <c r="S52">
        <f t="shared" si="13"/>
        <v>28032</v>
      </c>
      <c r="T52">
        <f t="shared" si="14"/>
        <v>12320</v>
      </c>
      <c r="U52">
        <f t="shared" si="15"/>
        <v>224</v>
      </c>
      <c r="V52">
        <f t="shared" si="16"/>
        <v>122</v>
      </c>
      <c r="W52">
        <f t="shared" si="17"/>
        <v>109</v>
      </c>
      <c r="X52">
        <f t="shared" si="18"/>
        <v>216</v>
      </c>
    </row>
    <row r="53" spans="2:24" x14ac:dyDescent="0.15">
      <c r="B53">
        <v>49</v>
      </c>
      <c r="C53">
        <f t="shared" si="1"/>
        <v>7.696902001294994</v>
      </c>
      <c r="D53">
        <f t="shared" si="2"/>
        <v>0.98768834059513777</v>
      </c>
      <c r="E53">
        <f t="shared" si="3"/>
        <v>1.0343048116166595</v>
      </c>
      <c r="F53">
        <f t="shared" si="4"/>
        <v>0.85950723702374809</v>
      </c>
      <c r="G53">
        <f t="shared" si="5"/>
        <v>990</v>
      </c>
      <c r="H53">
        <f t="shared" si="6"/>
        <v>1106.9121646535104</v>
      </c>
      <c r="I53">
        <v>211</v>
      </c>
      <c r="J53">
        <v>80</v>
      </c>
      <c r="K53">
        <f t="shared" si="0"/>
        <v>0.51715240580832977</v>
      </c>
      <c r="L53">
        <f t="shared" si="7"/>
        <v>222</v>
      </c>
      <c r="M53">
        <f t="shared" si="8"/>
        <v>126</v>
      </c>
      <c r="N53">
        <f t="shared" si="9"/>
        <v>-126</v>
      </c>
      <c r="O53">
        <f t="shared" si="10"/>
        <v>222</v>
      </c>
      <c r="P53">
        <v>1</v>
      </c>
      <c r="Q53">
        <f t="shared" si="11"/>
        <v>18694</v>
      </c>
      <c r="R53">
        <f t="shared" si="12"/>
        <v>30560</v>
      </c>
      <c r="S53">
        <f t="shared" si="13"/>
        <v>28774</v>
      </c>
      <c r="T53">
        <f t="shared" si="14"/>
        <v>12800</v>
      </c>
      <c r="U53">
        <f t="shared" si="15"/>
        <v>222</v>
      </c>
      <c r="V53">
        <f t="shared" si="16"/>
        <v>126</v>
      </c>
      <c r="W53">
        <f t="shared" si="17"/>
        <v>112</v>
      </c>
      <c r="X53">
        <f t="shared" si="18"/>
        <v>217</v>
      </c>
    </row>
    <row r="54" spans="2:24" x14ac:dyDescent="0.15">
      <c r="B54">
        <v>50</v>
      </c>
      <c r="C54">
        <f t="shared" si="1"/>
        <v>7.8539816339744828</v>
      </c>
      <c r="D54">
        <f t="shared" si="2"/>
        <v>1</v>
      </c>
      <c r="E54">
        <f t="shared" si="3"/>
        <v>1.0471975511965976</v>
      </c>
      <c r="F54">
        <f t="shared" si="4"/>
        <v>0.8660254037844386</v>
      </c>
      <c r="G54">
        <f t="shared" si="5"/>
        <v>1010</v>
      </c>
      <c r="H54">
        <f t="shared" si="6"/>
        <v>1130.685657822283</v>
      </c>
      <c r="I54">
        <v>211</v>
      </c>
      <c r="J54">
        <v>80</v>
      </c>
      <c r="K54">
        <f t="shared" si="0"/>
        <v>0.52359877559829882</v>
      </c>
      <c r="L54">
        <f t="shared" si="7"/>
        <v>221</v>
      </c>
      <c r="M54">
        <f t="shared" si="8"/>
        <v>128</v>
      </c>
      <c r="N54">
        <f t="shared" si="9"/>
        <v>-128</v>
      </c>
      <c r="O54">
        <f t="shared" si="10"/>
        <v>221</v>
      </c>
      <c r="P54">
        <v>1</v>
      </c>
      <c r="Q54">
        <f t="shared" si="11"/>
        <v>18905</v>
      </c>
      <c r="R54">
        <f t="shared" si="12"/>
        <v>30720</v>
      </c>
      <c r="S54">
        <f t="shared" si="13"/>
        <v>29145</v>
      </c>
      <c r="T54">
        <f t="shared" si="14"/>
        <v>13040</v>
      </c>
      <c r="U54">
        <f t="shared" si="15"/>
        <v>221</v>
      </c>
      <c r="V54">
        <f t="shared" si="16"/>
        <v>128</v>
      </c>
      <c r="W54">
        <f t="shared" si="17"/>
        <v>113</v>
      </c>
      <c r="X54">
        <f t="shared" si="18"/>
        <v>217</v>
      </c>
    </row>
    <row r="55" spans="2:24" x14ac:dyDescent="0.15">
      <c r="B55">
        <v>51</v>
      </c>
      <c r="C55">
        <f t="shared" si="1"/>
        <v>8.0110612666539716</v>
      </c>
      <c r="D55">
        <f t="shared" si="2"/>
        <v>0.98768834059513788</v>
      </c>
      <c r="E55">
        <f t="shared" si="3"/>
        <v>1.0343048116166595</v>
      </c>
      <c r="F55">
        <f t="shared" si="4"/>
        <v>0.85950723702374809</v>
      </c>
      <c r="G55">
        <f t="shared" si="5"/>
        <v>1030</v>
      </c>
      <c r="H55">
        <f t="shared" si="6"/>
        <v>1141.2924541344605</v>
      </c>
      <c r="I55">
        <v>211</v>
      </c>
      <c r="J55">
        <v>80</v>
      </c>
      <c r="K55">
        <f t="shared" si="0"/>
        <v>0.51715240580832977</v>
      </c>
      <c r="L55">
        <f t="shared" si="7"/>
        <v>222</v>
      </c>
      <c r="M55">
        <f t="shared" si="8"/>
        <v>126</v>
      </c>
      <c r="N55">
        <f t="shared" si="9"/>
        <v>-126</v>
      </c>
      <c r="O55">
        <f t="shared" si="10"/>
        <v>222</v>
      </c>
      <c r="P55">
        <v>1</v>
      </c>
      <c r="Q55">
        <f t="shared" si="11"/>
        <v>18694</v>
      </c>
      <c r="R55">
        <f t="shared" si="12"/>
        <v>30560</v>
      </c>
      <c r="S55">
        <f t="shared" si="13"/>
        <v>28774</v>
      </c>
      <c r="T55">
        <f t="shared" si="14"/>
        <v>12800</v>
      </c>
      <c r="U55">
        <f t="shared" si="15"/>
        <v>222</v>
      </c>
      <c r="V55">
        <f t="shared" si="16"/>
        <v>126</v>
      </c>
      <c r="W55">
        <f t="shared" si="17"/>
        <v>112</v>
      </c>
      <c r="X55">
        <f t="shared" si="18"/>
        <v>217</v>
      </c>
    </row>
    <row r="56" spans="2:24" x14ac:dyDescent="0.15">
      <c r="B56">
        <v>52</v>
      </c>
      <c r="C56">
        <f t="shared" si="1"/>
        <v>8.1681408993334621</v>
      </c>
      <c r="D56">
        <f t="shared" si="2"/>
        <v>0.95105651629515364</v>
      </c>
      <c r="E56">
        <f t="shared" si="3"/>
        <v>0.99594405491385196</v>
      </c>
      <c r="F56">
        <f t="shared" si="4"/>
        <v>0.83927263295391474</v>
      </c>
      <c r="G56">
        <f t="shared" si="5"/>
        <v>1050</v>
      </c>
      <c r="H56">
        <f t="shared" si="6"/>
        <v>1137.2362646016104</v>
      </c>
      <c r="I56">
        <v>211</v>
      </c>
      <c r="J56">
        <v>80</v>
      </c>
      <c r="K56">
        <f t="shared" si="0"/>
        <v>0.49797202745692598</v>
      </c>
      <c r="L56">
        <f t="shared" si="7"/>
        <v>224</v>
      </c>
      <c r="M56">
        <f t="shared" si="8"/>
        <v>122</v>
      </c>
      <c r="N56">
        <f t="shared" si="9"/>
        <v>-122</v>
      </c>
      <c r="O56">
        <f t="shared" si="10"/>
        <v>224</v>
      </c>
      <c r="P56">
        <v>1</v>
      </c>
      <c r="Q56">
        <f t="shared" si="11"/>
        <v>18272</v>
      </c>
      <c r="R56">
        <f t="shared" si="12"/>
        <v>30240</v>
      </c>
      <c r="S56">
        <f t="shared" si="13"/>
        <v>28032</v>
      </c>
      <c r="T56">
        <f t="shared" si="14"/>
        <v>12320</v>
      </c>
      <c r="U56">
        <f t="shared" si="15"/>
        <v>224</v>
      </c>
      <c r="V56">
        <f t="shared" si="16"/>
        <v>122</v>
      </c>
      <c r="W56">
        <f t="shared" si="17"/>
        <v>109</v>
      </c>
      <c r="X56">
        <f t="shared" si="18"/>
        <v>216</v>
      </c>
    </row>
    <row r="57" spans="2:24" x14ac:dyDescent="0.15">
      <c r="B57">
        <v>53</v>
      </c>
      <c r="C57">
        <f t="shared" si="1"/>
        <v>8.3252205320129509</v>
      </c>
      <c r="D57">
        <f t="shared" si="2"/>
        <v>0.89100652418836845</v>
      </c>
      <c r="E57">
        <f t="shared" si="3"/>
        <v>0.93305985023025162</v>
      </c>
      <c r="F57">
        <f t="shared" si="4"/>
        <v>0.80344546782369219</v>
      </c>
      <c r="G57">
        <f t="shared" si="5"/>
        <v>1070</v>
      </c>
      <c r="H57">
        <f t="shared" si="6"/>
        <v>1115.6866505713506</v>
      </c>
      <c r="I57">
        <v>211</v>
      </c>
      <c r="J57">
        <v>80</v>
      </c>
      <c r="K57">
        <f t="shared" si="0"/>
        <v>0.46652992511512581</v>
      </c>
      <c r="L57">
        <f t="shared" si="7"/>
        <v>228</v>
      </c>
      <c r="M57">
        <f t="shared" si="8"/>
        <v>115</v>
      </c>
      <c r="N57">
        <f t="shared" si="9"/>
        <v>-115</v>
      </c>
      <c r="O57">
        <f t="shared" si="10"/>
        <v>228</v>
      </c>
      <c r="P57">
        <v>1</v>
      </c>
      <c r="Q57">
        <f t="shared" si="11"/>
        <v>17428</v>
      </c>
      <c r="R57">
        <f t="shared" si="12"/>
        <v>29680</v>
      </c>
      <c r="S57">
        <f t="shared" si="13"/>
        <v>26628</v>
      </c>
      <c r="T57">
        <f t="shared" si="14"/>
        <v>11440</v>
      </c>
      <c r="U57">
        <f t="shared" si="15"/>
        <v>228</v>
      </c>
      <c r="V57">
        <f t="shared" si="16"/>
        <v>115</v>
      </c>
      <c r="W57">
        <f t="shared" si="17"/>
        <v>104</v>
      </c>
      <c r="X57">
        <f t="shared" si="18"/>
        <v>214</v>
      </c>
    </row>
    <row r="58" spans="2:24" x14ac:dyDescent="0.15">
      <c r="B58">
        <v>54</v>
      </c>
      <c r="C58">
        <f t="shared" si="1"/>
        <v>8.4823001646924414</v>
      </c>
      <c r="D58">
        <f t="shared" si="2"/>
        <v>0.80901699437494767</v>
      </c>
      <c r="E58">
        <f t="shared" si="3"/>
        <v>0.84720061538587688</v>
      </c>
      <c r="F58">
        <f t="shared" si="4"/>
        <v>0.74942991716629592</v>
      </c>
      <c r="G58">
        <f t="shared" si="5"/>
        <v>1090</v>
      </c>
      <c r="H58">
        <f t="shared" si="6"/>
        <v>1072.8786097112625</v>
      </c>
      <c r="I58">
        <v>211</v>
      </c>
      <c r="J58">
        <v>80</v>
      </c>
      <c r="K58">
        <f t="shared" si="0"/>
        <v>0.42360030769293844</v>
      </c>
      <c r="L58">
        <f t="shared" si="7"/>
        <v>233</v>
      </c>
      <c r="M58">
        <f t="shared" si="8"/>
        <v>105</v>
      </c>
      <c r="N58">
        <f t="shared" si="9"/>
        <v>-105</v>
      </c>
      <c r="O58">
        <f t="shared" si="10"/>
        <v>233</v>
      </c>
      <c r="P58">
        <v>1</v>
      </c>
      <c r="Q58">
        <f t="shared" si="11"/>
        <v>16373</v>
      </c>
      <c r="R58">
        <f t="shared" si="12"/>
        <v>28880</v>
      </c>
      <c r="S58">
        <f t="shared" si="13"/>
        <v>24773</v>
      </c>
      <c r="T58">
        <f t="shared" si="14"/>
        <v>10240</v>
      </c>
      <c r="U58">
        <f t="shared" si="15"/>
        <v>233</v>
      </c>
      <c r="V58">
        <f t="shared" si="16"/>
        <v>105</v>
      </c>
      <c r="W58">
        <f t="shared" si="17"/>
        <v>96</v>
      </c>
      <c r="X58">
        <f t="shared" si="18"/>
        <v>212</v>
      </c>
    </row>
    <row r="59" spans="2:24" x14ac:dyDescent="0.15">
      <c r="B59">
        <v>55</v>
      </c>
      <c r="C59">
        <f t="shared" si="1"/>
        <v>8.6393797973719302</v>
      </c>
      <c r="D59">
        <f t="shared" si="2"/>
        <v>0.70710678118654835</v>
      </c>
      <c r="E59">
        <f t="shared" si="3"/>
        <v>0.74048048969306191</v>
      </c>
      <c r="F59">
        <f t="shared" si="4"/>
        <v>0.67464266030907183</v>
      </c>
      <c r="G59">
        <f t="shared" si="5"/>
        <v>1110</v>
      </c>
      <c r="H59">
        <f t="shared" si="6"/>
        <v>1004.8533529430697</v>
      </c>
      <c r="I59">
        <v>211</v>
      </c>
      <c r="J59">
        <v>80</v>
      </c>
      <c r="K59">
        <f t="shared" si="0"/>
        <v>0.37024024484653095</v>
      </c>
      <c r="L59">
        <f t="shared" si="7"/>
        <v>238</v>
      </c>
      <c r="M59">
        <f t="shared" si="8"/>
        <v>92</v>
      </c>
      <c r="N59">
        <f t="shared" si="9"/>
        <v>-92</v>
      </c>
      <c r="O59">
        <f t="shared" si="10"/>
        <v>238</v>
      </c>
      <c r="P59">
        <v>1</v>
      </c>
      <c r="Q59">
        <f t="shared" si="11"/>
        <v>15318</v>
      </c>
      <c r="R59">
        <f t="shared" si="12"/>
        <v>27840</v>
      </c>
      <c r="S59">
        <f t="shared" si="13"/>
        <v>22678</v>
      </c>
      <c r="T59">
        <f t="shared" si="14"/>
        <v>8800</v>
      </c>
      <c r="U59">
        <f t="shared" si="15"/>
        <v>238</v>
      </c>
      <c r="V59">
        <f t="shared" si="16"/>
        <v>92</v>
      </c>
      <c r="W59">
        <f t="shared" si="17"/>
        <v>88</v>
      </c>
      <c r="X59">
        <f t="shared" si="18"/>
        <v>209</v>
      </c>
    </row>
    <row r="60" spans="2:24" x14ac:dyDescent="0.15">
      <c r="B60">
        <v>56</v>
      </c>
      <c r="C60">
        <f t="shared" si="1"/>
        <v>8.7964594300514207</v>
      </c>
      <c r="D60">
        <f t="shared" si="2"/>
        <v>0.58778525229247336</v>
      </c>
      <c r="E60">
        <f t="shared" si="3"/>
        <v>0.6155272768301524</v>
      </c>
      <c r="F60">
        <f t="shared" si="4"/>
        <v>0.57738910777622643</v>
      </c>
      <c r="G60">
        <f t="shared" si="5"/>
        <v>1130</v>
      </c>
      <c r="H60">
        <f t="shared" si="6"/>
        <v>908.44969178713586</v>
      </c>
      <c r="I60">
        <v>211</v>
      </c>
      <c r="J60">
        <v>80</v>
      </c>
      <c r="K60">
        <f t="shared" si="0"/>
        <v>0.3077636384150762</v>
      </c>
      <c r="L60">
        <f t="shared" si="7"/>
        <v>243</v>
      </c>
      <c r="M60">
        <f t="shared" si="8"/>
        <v>77</v>
      </c>
      <c r="N60">
        <f t="shared" si="9"/>
        <v>-77</v>
      </c>
      <c r="O60">
        <f t="shared" si="10"/>
        <v>243</v>
      </c>
      <c r="P60">
        <v>1</v>
      </c>
      <c r="Q60">
        <f t="shared" si="11"/>
        <v>14263</v>
      </c>
      <c r="R60">
        <f t="shared" si="12"/>
        <v>26640</v>
      </c>
      <c r="S60">
        <f t="shared" si="13"/>
        <v>20423</v>
      </c>
      <c r="T60">
        <f t="shared" si="14"/>
        <v>7200</v>
      </c>
      <c r="U60">
        <f t="shared" si="15"/>
        <v>243</v>
      </c>
      <c r="V60">
        <f t="shared" si="16"/>
        <v>77</v>
      </c>
      <c r="W60">
        <f t="shared" si="17"/>
        <v>79</v>
      </c>
      <c r="X60">
        <f t="shared" si="18"/>
        <v>206</v>
      </c>
    </row>
    <row r="61" spans="2:24" x14ac:dyDescent="0.15">
      <c r="B61">
        <v>57</v>
      </c>
      <c r="C61">
        <f t="shared" si="1"/>
        <v>8.9535390627309095</v>
      </c>
      <c r="D61">
        <f t="shared" si="2"/>
        <v>0.45399049973954791</v>
      </c>
      <c r="E61">
        <f t="shared" si="3"/>
        <v>0.4754177395937742</v>
      </c>
      <c r="F61">
        <f t="shared" si="4"/>
        <v>0.45770990004419293</v>
      </c>
      <c r="G61">
        <f t="shared" si="5"/>
        <v>1150</v>
      </c>
      <c r="H61">
        <f t="shared" si="6"/>
        <v>782.36638505082192</v>
      </c>
      <c r="I61">
        <v>211</v>
      </c>
      <c r="J61">
        <v>80</v>
      </c>
      <c r="K61">
        <f t="shared" si="0"/>
        <v>0.2377088697968871</v>
      </c>
      <c r="L61">
        <f t="shared" si="7"/>
        <v>248</v>
      </c>
      <c r="M61">
        <f t="shared" si="8"/>
        <v>60</v>
      </c>
      <c r="N61">
        <f t="shared" si="9"/>
        <v>-60</v>
      </c>
      <c r="O61">
        <f t="shared" si="10"/>
        <v>248</v>
      </c>
      <c r="P61">
        <v>1</v>
      </c>
      <c r="Q61">
        <f t="shared" si="11"/>
        <v>13208</v>
      </c>
      <c r="R61">
        <f t="shared" si="12"/>
        <v>25280</v>
      </c>
      <c r="S61">
        <f t="shared" si="13"/>
        <v>18008</v>
      </c>
      <c r="T61">
        <f t="shared" si="14"/>
        <v>5440</v>
      </c>
      <c r="U61">
        <f t="shared" si="15"/>
        <v>248</v>
      </c>
      <c r="V61">
        <f t="shared" si="16"/>
        <v>60</v>
      </c>
      <c r="W61">
        <f t="shared" si="17"/>
        <v>70</v>
      </c>
      <c r="X61">
        <f t="shared" si="18"/>
        <v>202</v>
      </c>
    </row>
    <row r="62" spans="2:24" x14ac:dyDescent="0.15">
      <c r="B62">
        <v>58</v>
      </c>
      <c r="C62">
        <f t="shared" si="1"/>
        <v>9.1106186954104</v>
      </c>
      <c r="D62">
        <f t="shared" si="2"/>
        <v>0.30901699437494778</v>
      </c>
      <c r="E62">
        <f t="shared" si="3"/>
        <v>0.32360183978757812</v>
      </c>
      <c r="F62">
        <f t="shared" si="4"/>
        <v>0.31798350664708569</v>
      </c>
      <c r="G62">
        <f t="shared" si="5"/>
        <v>1170</v>
      </c>
      <c r="H62">
        <f t="shared" si="6"/>
        <v>628.04070277709025</v>
      </c>
      <c r="I62">
        <v>211</v>
      </c>
      <c r="J62">
        <v>80</v>
      </c>
      <c r="K62">
        <f t="shared" si="0"/>
        <v>0.16180091989378906</v>
      </c>
      <c r="L62">
        <f t="shared" si="7"/>
        <v>252</v>
      </c>
      <c r="M62">
        <f t="shared" si="8"/>
        <v>41</v>
      </c>
      <c r="N62">
        <f t="shared" si="9"/>
        <v>-41</v>
      </c>
      <c r="O62">
        <f t="shared" si="10"/>
        <v>252</v>
      </c>
      <c r="P62">
        <v>1</v>
      </c>
      <c r="Q62">
        <f t="shared" si="11"/>
        <v>12364</v>
      </c>
      <c r="R62">
        <f t="shared" si="12"/>
        <v>23760</v>
      </c>
      <c r="S62">
        <f t="shared" si="13"/>
        <v>15644</v>
      </c>
      <c r="T62">
        <f t="shared" si="14"/>
        <v>3600</v>
      </c>
      <c r="U62">
        <f t="shared" si="15"/>
        <v>252</v>
      </c>
      <c r="V62">
        <f t="shared" si="16"/>
        <v>41</v>
      </c>
      <c r="W62">
        <f t="shared" si="17"/>
        <v>61</v>
      </c>
      <c r="X62">
        <f t="shared" si="18"/>
        <v>199</v>
      </c>
    </row>
    <row r="63" spans="2:24" x14ac:dyDescent="0.15">
      <c r="B63">
        <v>59</v>
      </c>
      <c r="C63">
        <f t="shared" si="1"/>
        <v>9.2676983280898888</v>
      </c>
      <c r="D63">
        <f t="shared" si="2"/>
        <v>0.15643446504023209</v>
      </c>
      <c r="E63">
        <f t="shared" si="3"/>
        <v>0.1638177887128808</v>
      </c>
      <c r="F63">
        <f t="shared" si="4"/>
        <v>0.16308606156716213</v>
      </c>
      <c r="G63">
        <f t="shared" si="5"/>
        <v>1190</v>
      </c>
      <c r="H63">
        <f t="shared" si="6"/>
        <v>450.07241326492294</v>
      </c>
      <c r="I63">
        <v>211</v>
      </c>
      <c r="J63">
        <v>80</v>
      </c>
      <c r="K63">
        <f t="shared" si="0"/>
        <v>8.1908894356440401E-2</v>
      </c>
      <c r="L63">
        <f t="shared" si="7"/>
        <v>255</v>
      </c>
      <c r="M63">
        <f t="shared" si="8"/>
        <v>20</v>
      </c>
      <c r="N63">
        <f t="shared" si="9"/>
        <v>-20</v>
      </c>
      <c r="O63">
        <f t="shared" si="10"/>
        <v>255</v>
      </c>
      <c r="P63">
        <v>1</v>
      </c>
      <c r="Q63">
        <f t="shared" si="11"/>
        <v>11731</v>
      </c>
      <c r="R63">
        <f t="shared" si="12"/>
        <v>22080</v>
      </c>
      <c r="S63">
        <f t="shared" si="13"/>
        <v>13331</v>
      </c>
      <c r="T63">
        <f t="shared" si="14"/>
        <v>1680</v>
      </c>
      <c r="U63">
        <f t="shared" si="15"/>
        <v>255</v>
      </c>
      <c r="V63">
        <f t="shared" si="16"/>
        <v>20</v>
      </c>
      <c r="W63">
        <f t="shared" si="17"/>
        <v>52</v>
      </c>
      <c r="X63">
        <f t="shared" si="18"/>
        <v>195</v>
      </c>
    </row>
    <row r="64" spans="2:24" x14ac:dyDescent="0.15">
      <c r="B64">
        <v>60</v>
      </c>
      <c r="C64">
        <f t="shared" si="1"/>
        <v>9.4247779607693793</v>
      </c>
      <c r="D64">
        <f t="shared" si="2"/>
        <v>3.67544536472586E-16</v>
      </c>
      <c r="E64">
        <f t="shared" si="3"/>
        <v>3.8489173854978065E-16</v>
      </c>
      <c r="F64">
        <f t="shared" si="4"/>
        <v>3.8489173854978065E-16</v>
      </c>
      <c r="G64">
        <f t="shared" si="5"/>
        <v>1210</v>
      </c>
      <c r="H64">
        <f t="shared" si="6"/>
        <v>256.00000000000045</v>
      </c>
      <c r="I64">
        <v>211</v>
      </c>
      <c r="J64">
        <v>80</v>
      </c>
      <c r="K64">
        <f t="shared" si="0"/>
        <v>1.9244586927489033E-16</v>
      </c>
      <c r="L64">
        <f t="shared" si="7"/>
        <v>256</v>
      </c>
      <c r="M64">
        <f t="shared" si="8"/>
        <v>0</v>
      </c>
      <c r="N64">
        <f t="shared" si="9"/>
        <v>0</v>
      </c>
      <c r="O64">
        <f t="shared" si="10"/>
        <v>256</v>
      </c>
      <c r="P64">
        <v>1</v>
      </c>
      <c r="Q64">
        <f t="shared" si="11"/>
        <v>11520</v>
      </c>
      <c r="R64">
        <f t="shared" si="12"/>
        <v>20480</v>
      </c>
      <c r="S64">
        <f t="shared" si="13"/>
        <v>11520</v>
      </c>
      <c r="T64">
        <f t="shared" si="14"/>
        <v>0</v>
      </c>
      <c r="U64">
        <f t="shared" si="15"/>
        <v>256</v>
      </c>
      <c r="V64">
        <f t="shared" si="16"/>
        <v>0</v>
      </c>
      <c r="W64">
        <f t="shared" si="17"/>
        <v>45</v>
      </c>
      <c r="X64">
        <f t="shared" si="18"/>
        <v>192</v>
      </c>
    </row>
  </sheetData>
  <mergeCells count="6">
    <mergeCell ref="S2:T2"/>
    <mergeCell ref="C2:H2"/>
    <mergeCell ref="I2:J2"/>
    <mergeCell ref="L2:M2"/>
    <mergeCell ref="Q2:R2"/>
    <mergeCell ref="N2:O2"/>
  </mergeCells>
  <phoneticPr fontId="1"/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64"/>
  <sheetViews>
    <sheetView zoomScale="85" zoomScaleNormal="85" workbookViewId="0">
      <selection activeCell="G4" sqref="G4"/>
    </sheetView>
  </sheetViews>
  <sheetFormatPr defaultRowHeight="13.5" x14ac:dyDescent="0.15"/>
  <cols>
    <col min="3" max="3" width="12.75" bestFit="1" customWidth="1"/>
    <col min="4" max="6" width="13.875" bestFit="1" customWidth="1"/>
    <col min="7" max="7" width="17.25" bestFit="1" customWidth="1"/>
    <col min="8" max="8" width="17.25" customWidth="1"/>
  </cols>
  <sheetData>
    <row r="1" spans="2:12" x14ac:dyDescent="0.15">
      <c r="B1" t="s">
        <v>14</v>
      </c>
    </row>
    <row r="2" spans="2:12" x14ac:dyDescent="0.15">
      <c r="D2" t="s">
        <v>9</v>
      </c>
      <c r="E2" t="s">
        <v>8</v>
      </c>
    </row>
    <row r="3" spans="2:12" x14ac:dyDescent="0.15">
      <c r="B3" t="s">
        <v>0</v>
      </c>
      <c r="C3" t="s">
        <v>1</v>
      </c>
      <c r="D3" t="s">
        <v>2</v>
      </c>
      <c r="E3" t="s">
        <v>13</v>
      </c>
      <c r="F3" t="s">
        <v>11</v>
      </c>
      <c r="G3" t="s">
        <v>15</v>
      </c>
      <c r="H3" t="s">
        <v>16</v>
      </c>
      <c r="I3" t="s">
        <v>8</v>
      </c>
      <c r="J3" t="s">
        <v>9</v>
      </c>
      <c r="K3" t="s">
        <v>11</v>
      </c>
      <c r="L3" t="s">
        <v>12</v>
      </c>
    </row>
    <row r="4" spans="2:12" x14ac:dyDescent="0.15">
      <c r="B4">
        <v>0</v>
      </c>
      <c r="C4">
        <f>B4/60*2*PI()</f>
        <v>0</v>
      </c>
      <c r="D4">
        <f>SIN(C4)</f>
        <v>0</v>
      </c>
      <c r="E4">
        <f>COS(C4)</f>
        <v>1</v>
      </c>
      <c r="F4">
        <f>211-211*E4+80*D4</f>
        <v>0</v>
      </c>
      <c r="G4">
        <f>80-211*D4-80*E4</f>
        <v>0</v>
      </c>
      <c r="H4">
        <f>G4/2</f>
        <v>0</v>
      </c>
      <c r="I4">
        <f>INT(E4*256)</f>
        <v>256</v>
      </c>
      <c r="J4">
        <f>INT(D4*256)</f>
        <v>0</v>
      </c>
      <c r="K4">
        <f>INT(F4)</f>
        <v>0</v>
      </c>
      <c r="L4">
        <f>INT(H4)+192</f>
        <v>192</v>
      </c>
    </row>
    <row r="5" spans="2:12" x14ac:dyDescent="0.15">
      <c r="B5">
        <v>1</v>
      </c>
      <c r="C5">
        <f t="shared" ref="C5:C64" si="0">B5/60*2*PI()</f>
        <v>0.10471975511965977</v>
      </c>
      <c r="D5">
        <f t="shared" ref="D5:D64" si="1">SIN(C5)</f>
        <v>0.10452846326765346</v>
      </c>
      <c r="E5">
        <f t="shared" ref="E5:E64" si="2">COS(C5)</f>
        <v>0.99452189536827329</v>
      </c>
      <c r="F5">
        <f t="shared" ref="F5:F64" si="3">211-211*E5+80*D5</f>
        <v>9.5181571387066182</v>
      </c>
      <c r="G5">
        <f t="shared" ref="G5:G64" si="4">80-211*D5-80*E5</f>
        <v>-21.617257378936742</v>
      </c>
      <c r="H5">
        <f t="shared" ref="H5:H64" si="5">G5/2</f>
        <v>-10.808628689468371</v>
      </c>
      <c r="I5">
        <f t="shared" ref="I5:I64" si="6">INT(E5*256)</f>
        <v>254</v>
      </c>
      <c r="J5">
        <f t="shared" ref="J5:J64" si="7">INT(D5*256)</f>
        <v>26</v>
      </c>
      <c r="K5">
        <f t="shared" ref="K5:K64" si="8">INT(F5)</f>
        <v>9</v>
      </c>
      <c r="L5">
        <f t="shared" ref="L5:L64" si="9">INT(H5)+192</f>
        <v>181</v>
      </c>
    </row>
    <row r="6" spans="2:12" x14ac:dyDescent="0.15">
      <c r="B6">
        <v>2</v>
      </c>
      <c r="C6">
        <f t="shared" si="0"/>
        <v>0.20943951023931953</v>
      </c>
      <c r="D6">
        <f t="shared" si="1"/>
        <v>0.20791169081775931</v>
      </c>
      <c r="E6">
        <f t="shared" si="2"/>
        <v>0.97814760073380569</v>
      </c>
      <c r="F6">
        <f t="shared" si="3"/>
        <v>21.24379151058773</v>
      </c>
      <c r="G6">
        <f t="shared" si="4"/>
        <v>-42.121174821251671</v>
      </c>
      <c r="H6">
        <f t="shared" si="5"/>
        <v>-21.060587410625836</v>
      </c>
      <c r="I6">
        <f t="shared" si="6"/>
        <v>250</v>
      </c>
      <c r="J6">
        <f t="shared" si="7"/>
        <v>53</v>
      </c>
      <c r="K6">
        <f t="shared" si="8"/>
        <v>21</v>
      </c>
      <c r="L6">
        <f t="shared" si="9"/>
        <v>170</v>
      </c>
    </row>
    <row r="7" spans="2:12" x14ac:dyDescent="0.15">
      <c r="B7">
        <v>3</v>
      </c>
      <c r="C7">
        <f t="shared" si="0"/>
        <v>0.31415926535897931</v>
      </c>
      <c r="D7">
        <f t="shared" si="1"/>
        <v>0.3090169943749474</v>
      </c>
      <c r="E7">
        <f t="shared" si="2"/>
        <v>0.95105651629515353</v>
      </c>
      <c r="F7">
        <f t="shared" si="3"/>
        <v>35.048434611718406</v>
      </c>
      <c r="G7">
        <f t="shared" si="4"/>
        <v>-61.287107116726176</v>
      </c>
      <c r="H7">
        <f t="shared" si="5"/>
        <v>-30.643553558363088</v>
      </c>
      <c r="I7">
        <f t="shared" si="6"/>
        <v>243</v>
      </c>
      <c r="J7">
        <f t="shared" si="7"/>
        <v>79</v>
      </c>
      <c r="K7">
        <f t="shared" si="8"/>
        <v>35</v>
      </c>
      <c r="L7">
        <f t="shared" si="9"/>
        <v>161</v>
      </c>
    </row>
    <row r="8" spans="2:12" x14ac:dyDescent="0.15">
      <c r="B8">
        <v>4</v>
      </c>
      <c r="C8">
        <f t="shared" si="0"/>
        <v>0.41887902047863906</v>
      </c>
      <c r="D8">
        <f t="shared" si="1"/>
        <v>0.40673664307580015</v>
      </c>
      <c r="E8">
        <f t="shared" si="2"/>
        <v>0.91354545764260087</v>
      </c>
      <c r="F8">
        <f t="shared" si="3"/>
        <v>50.780839883475224</v>
      </c>
      <c r="G8">
        <f t="shared" si="4"/>
        <v>-78.905068300401894</v>
      </c>
      <c r="H8">
        <f t="shared" si="5"/>
        <v>-39.452534150200947</v>
      </c>
      <c r="I8">
        <f t="shared" si="6"/>
        <v>233</v>
      </c>
      <c r="J8">
        <f t="shared" si="7"/>
        <v>104</v>
      </c>
      <c r="K8">
        <f t="shared" si="8"/>
        <v>50</v>
      </c>
      <c r="L8">
        <f t="shared" si="9"/>
        <v>152</v>
      </c>
    </row>
    <row r="9" spans="2:12" x14ac:dyDescent="0.15">
      <c r="B9">
        <v>5</v>
      </c>
      <c r="C9">
        <f t="shared" si="0"/>
        <v>0.52359877559829882</v>
      </c>
      <c r="D9">
        <f t="shared" si="1"/>
        <v>0.49999999999999994</v>
      </c>
      <c r="E9">
        <f t="shared" si="2"/>
        <v>0.86602540378443871</v>
      </c>
      <c r="F9">
        <f t="shared" si="3"/>
        <v>68.268639801483431</v>
      </c>
      <c r="G9">
        <f t="shared" si="4"/>
        <v>-94.782032302755084</v>
      </c>
      <c r="H9">
        <f t="shared" si="5"/>
        <v>-47.391016151377542</v>
      </c>
      <c r="I9">
        <f t="shared" si="6"/>
        <v>221</v>
      </c>
      <c r="J9">
        <f t="shared" si="7"/>
        <v>128</v>
      </c>
      <c r="K9">
        <f t="shared" si="8"/>
        <v>68</v>
      </c>
      <c r="L9">
        <f t="shared" si="9"/>
        <v>144</v>
      </c>
    </row>
    <row r="10" spans="2:12" x14ac:dyDescent="0.15">
      <c r="B10">
        <v>6</v>
      </c>
      <c r="C10">
        <f t="shared" si="0"/>
        <v>0.62831853071795862</v>
      </c>
      <c r="D10">
        <f t="shared" si="1"/>
        <v>0.58778525229247314</v>
      </c>
      <c r="E10">
        <f t="shared" si="2"/>
        <v>0.80901699437494745</v>
      </c>
      <c r="F10">
        <f t="shared" si="3"/>
        <v>87.320234370283956</v>
      </c>
      <c r="G10">
        <f t="shared" si="4"/>
        <v>-108.74404778370763</v>
      </c>
      <c r="H10">
        <f t="shared" si="5"/>
        <v>-54.372023891853814</v>
      </c>
      <c r="I10">
        <f t="shared" si="6"/>
        <v>207</v>
      </c>
      <c r="J10">
        <f t="shared" si="7"/>
        <v>150</v>
      </c>
      <c r="K10">
        <f t="shared" si="8"/>
        <v>87</v>
      </c>
      <c r="L10">
        <f t="shared" si="9"/>
        <v>137</v>
      </c>
    </row>
    <row r="11" spans="2:12" x14ac:dyDescent="0.15">
      <c r="B11">
        <v>7</v>
      </c>
      <c r="C11">
        <f t="shared" si="0"/>
        <v>0.73303828583761843</v>
      </c>
      <c r="D11">
        <f t="shared" si="1"/>
        <v>0.66913060635885824</v>
      </c>
      <c r="E11">
        <f t="shared" si="2"/>
        <v>0.74314482547739424</v>
      </c>
      <c r="F11">
        <f t="shared" si="3"/>
        <v>107.72689033297847</v>
      </c>
      <c r="G11">
        <f t="shared" si="4"/>
        <v>-120.63814397991062</v>
      </c>
      <c r="H11">
        <f t="shared" si="5"/>
        <v>-60.319071989955312</v>
      </c>
      <c r="I11">
        <f t="shared" si="6"/>
        <v>190</v>
      </c>
      <c r="J11">
        <f t="shared" si="7"/>
        <v>171</v>
      </c>
      <c r="K11">
        <f t="shared" si="8"/>
        <v>107</v>
      </c>
      <c r="L11">
        <f t="shared" si="9"/>
        <v>131</v>
      </c>
    </row>
    <row r="12" spans="2:12" x14ac:dyDescent="0.15">
      <c r="B12">
        <v>8</v>
      </c>
      <c r="C12">
        <f t="shared" si="0"/>
        <v>0.83775804095727813</v>
      </c>
      <c r="D12">
        <f t="shared" si="1"/>
        <v>0.74314482547739413</v>
      </c>
      <c r="E12">
        <f t="shared" si="2"/>
        <v>0.66913060635885824</v>
      </c>
      <c r="F12">
        <f t="shared" si="3"/>
        <v>129.26502809647243</v>
      </c>
      <c r="G12">
        <f t="shared" si="4"/>
        <v>-130.3340066844388</v>
      </c>
      <c r="H12">
        <f t="shared" si="5"/>
        <v>-65.167003342219402</v>
      </c>
      <c r="I12">
        <f t="shared" si="6"/>
        <v>171</v>
      </c>
      <c r="J12">
        <f t="shared" si="7"/>
        <v>190</v>
      </c>
      <c r="K12">
        <f t="shared" si="8"/>
        <v>129</v>
      </c>
      <c r="L12">
        <f t="shared" si="9"/>
        <v>126</v>
      </c>
    </row>
    <row r="13" spans="2:12" x14ac:dyDescent="0.15">
      <c r="B13">
        <v>9</v>
      </c>
      <c r="C13">
        <f t="shared" si="0"/>
        <v>0.94247779607693793</v>
      </c>
      <c r="D13">
        <f t="shared" si="1"/>
        <v>0.80901699437494745</v>
      </c>
      <c r="E13">
        <f t="shared" si="2"/>
        <v>0.58778525229247314</v>
      </c>
      <c r="F13">
        <f t="shared" si="3"/>
        <v>151.69867131628396</v>
      </c>
      <c r="G13">
        <f t="shared" si="4"/>
        <v>-137.72540599651177</v>
      </c>
      <c r="H13">
        <f t="shared" si="5"/>
        <v>-68.862702998255884</v>
      </c>
      <c r="I13">
        <f t="shared" si="6"/>
        <v>150</v>
      </c>
      <c r="J13">
        <f t="shared" si="7"/>
        <v>207</v>
      </c>
      <c r="K13">
        <f t="shared" si="8"/>
        <v>151</v>
      </c>
      <c r="L13">
        <f t="shared" si="9"/>
        <v>123</v>
      </c>
    </row>
    <row r="14" spans="2:12" x14ac:dyDescent="0.15">
      <c r="B14">
        <v>10</v>
      </c>
      <c r="C14">
        <f t="shared" si="0"/>
        <v>1.0471975511965976</v>
      </c>
      <c r="D14">
        <f t="shared" si="1"/>
        <v>0.8660254037844386</v>
      </c>
      <c r="E14">
        <f t="shared" si="2"/>
        <v>0.50000000000000011</v>
      </c>
      <c r="F14">
        <f t="shared" si="3"/>
        <v>174.78203230275506</v>
      </c>
      <c r="G14">
        <f t="shared" si="4"/>
        <v>-142.73136019851654</v>
      </c>
      <c r="H14">
        <f t="shared" si="5"/>
        <v>-71.36568009925827</v>
      </c>
      <c r="I14">
        <f t="shared" si="6"/>
        <v>128</v>
      </c>
      <c r="J14">
        <f t="shared" si="7"/>
        <v>221</v>
      </c>
      <c r="K14">
        <f t="shared" si="8"/>
        <v>174</v>
      </c>
      <c r="L14">
        <f t="shared" si="9"/>
        <v>120</v>
      </c>
    </row>
    <row r="15" spans="2:12" x14ac:dyDescent="0.15">
      <c r="B15">
        <v>11</v>
      </c>
      <c r="C15">
        <f t="shared" si="0"/>
        <v>1.1519173063162573</v>
      </c>
      <c r="D15">
        <f t="shared" si="1"/>
        <v>0.91354545764260087</v>
      </c>
      <c r="E15">
        <f t="shared" si="2"/>
        <v>0.40673664307580037</v>
      </c>
      <c r="F15">
        <f t="shared" si="3"/>
        <v>198.26220492241418</v>
      </c>
      <c r="G15">
        <f t="shared" si="4"/>
        <v>-145.29702300865281</v>
      </c>
      <c r="H15">
        <f t="shared" si="5"/>
        <v>-72.648511504326407</v>
      </c>
      <c r="I15">
        <f t="shared" si="6"/>
        <v>104</v>
      </c>
      <c r="J15">
        <f t="shared" si="7"/>
        <v>233</v>
      </c>
      <c r="K15">
        <f t="shared" si="8"/>
        <v>198</v>
      </c>
      <c r="L15">
        <f t="shared" si="9"/>
        <v>119</v>
      </c>
    </row>
    <row r="16" spans="2:12" x14ac:dyDescent="0.15">
      <c r="B16">
        <v>12</v>
      </c>
      <c r="C16">
        <f t="shared" si="0"/>
        <v>1.2566370614359172</v>
      </c>
      <c r="D16">
        <f t="shared" si="1"/>
        <v>0.95105651629515353</v>
      </c>
      <c r="E16">
        <f t="shared" si="2"/>
        <v>0.30901699437494745</v>
      </c>
      <c r="F16">
        <f t="shared" si="3"/>
        <v>221.88193549049839</v>
      </c>
      <c r="G16">
        <f t="shared" si="4"/>
        <v>-145.39428448827317</v>
      </c>
      <c r="H16">
        <f t="shared" si="5"/>
        <v>-72.697142244136586</v>
      </c>
      <c r="I16">
        <f t="shared" si="6"/>
        <v>79</v>
      </c>
      <c r="J16">
        <f t="shared" si="7"/>
        <v>243</v>
      </c>
      <c r="K16">
        <f t="shared" si="8"/>
        <v>221</v>
      </c>
      <c r="L16">
        <f t="shared" si="9"/>
        <v>119</v>
      </c>
    </row>
    <row r="17" spans="2:12" x14ac:dyDescent="0.15">
      <c r="B17">
        <v>13</v>
      </c>
      <c r="C17">
        <f t="shared" si="0"/>
        <v>1.3613568165555772</v>
      </c>
      <c r="D17">
        <f t="shared" si="1"/>
        <v>0.97814760073380569</v>
      </c>
      <c r="E17">
        <f t="shared" si="2"/>
        <v>0.20791169081775923</v>
      </c>
      <c r="F17">
        <f t="shared" si="3"/>
        <v>245.38244129615725</v>
      </c>
      <c r="G17">
        <f t="shared" si="4"/>
        <v>-143.02207902025376</v>
      </c>
      <c r="H17">
        <f t="shared" si="5"/>
        <v>-71.511039510126878</v>
      </c>
      <c r="I17">
        <f t="shared" si="6"/>
        <v>53</v>
      </c>
      <c r="J17">
        <f t="shared" si="7"/>
        <v>250</v>
      </c>
      <c r="K17">
        <f t="shared" si="8"/>
        <v>245</v>
      </c>
      <c r="L17">
        <f t="shared" si="9"/>
        <v>120</v>
      </c>
    </row>
    <row r="18" spans="2:12" x14ac:dyDescent="0.15">
      <c r="B18">
        <v>14</v>
      </c>
      <c r="C18">
        <f t="shared" si="0"/>
        <v>1.4660765716752369</v>
      </c>
      <c r="D18">
        <f t="shared" si="1"/>
        <v>0.99452189536827329</v>
      </c>
      <c r="E18">
        <f t="shared" si="2"/>
        <v>0.10452846326765346</v>
      </c>
      <c r="F18">
        <f t="shared" si="3"/>
        <v>268.50624587998698</v>
      </c>
      <c r="G18">
        <f t="shared" si="4"/>
        <v>-138.20639698411793</v>
      </c>
      <c r="H18">
        <f t="shared" si="5"/>
        <v>-69.103198492058965</v>
      </c>
      <c r="I18">
        <f t="shared" si="6"/>
        <v>26</v>
      </c>
      <c r="J18">
        <f t="shared" si="7"/>
        <v>254</v>
      </c>
      <c r="K18">
        <f t="shared" si="8"/>
        <v>268</v>
      </c>
      <c r="L18">
        <f t="shared" si="9"/>
        <v>122</v>
      </c>
    </row>
    <row r="19" spans="2:12" x14ac:dyDescent="0.15">
      <c r="B19">
        <v>15</v>
      </c>
      <c r="C19">
        <f t="shared" si="0"/>
        <v>1.5707963267948966</v>
      </c>
      <c r="D19">
        <f t="shared" si="1"/>
        <v>1</v>
      </c>
      <c r="E19">
        <f t="shared" si="2"/>
        <v>6.1257422745431001E-17</v>
      </c>
      <c r="F19">
        <f t="shared" si="3"/>
        <v>291</v>
      </c>
      <c r="G19">
        <f t="shared" si="4"/>
        <v>-131</v>
      </c>
      <c r="H19">
        <f t="shared" si="5"/>
        <v>-65.5</v>
      </c>
      <c r="I19">
        <f t="shared" si="6"/>
        <v>0</v>
      </c>
      <c r="J19">
        <f t="shared" si="7"/>
        <v>256</v>
      </c>
      <c r="K19">
        <f t="shared" si="8"/>
        <v>291</v>
      </c>
      <c r="L19">
        <f t="shared" si="9"/>
        <v>126</v>
      </c>
    </row>
    <row r="20" spans="2:12" x14ac:dyDescent="0.15">
      <c r="B20">
        <v>16</v>
      </c>
      <c r="C20">
        <f t="shared" si="0"/>
        <v>1.6755160819145563</v>
      </c>
      <c r="D20">
        <f t="shared" si="1"/>
        <v>0.9945218953682734</v>
      </c>
      <c r="E20">
        <f t="shared" si="2"/>
        <v>-0.10452846326765333</v>
      </c>
      <c r="F20">
        <f t="shared" si="3"/>
        <v>312.61725737893676</v>
      </c>
      <c r="G20">
        <f t="shared" si="4"/>
        <v>-121.48184286129342</v>
      </c>
      <c r="H20">
        <f t="shared" si="5"/>
        <v>-60.740921430646708</v>
      </c>
      <c r="I20">
        <f t="shared" si="6"/>
        <v>-27</v>
      </c>
      <c r="J20">
        <f t="shared" si="7"/>
        <v>254</v>
      </c>
      <c r="K20">
        <f t="shared" si="8"/>
        <v>312</v>
      </c>
      <c r="L20">
        <f t="shared" si="9"/>
        <v>131</v>
      </c>
    </row>
    <row r="21" spans="2:12" x14ac:dyDescent="0.15">
      <c r="B21">
        <v>17</v>
      </c>
      <c r="C21">
        <f t="shared" si="0"/>
        <v>1.780235837034216</v>
      </c>
      <c r="D21">
        <f t="shared" si="1"/>
        <v>0.97814760073380569</v>
      </c>
      <c r="E21">
        <f t="shared" si="2"/>
        <v>-0.20791169081775912</v>
      </c>
      <c r="F21">
        <f t="shared" si="3"/>
        <v>333.12117482125166</v>
      </c>
      <c r="G21">
        <f t="shared" si="4"/>
        <v>-109.75620848941229</v>
      </c>
      <c r="H21">
        <f t="shared" si="5"/>
        <v>-54.878104244706144</v>
      </c>
      <c r="I21">
        <f t="shared" si="6"/>
        <v>-54</v>
      </c>
      <c r="J21">
        <f t="shared" si="7"/>
        <v>250</v>
      </c>
      <c r="K21">
        <f t="shared" si="8"/>
        <v>333</v>
      </c>
      <c r="L21">
        <f t="shared" si="9"/>
        <v>137</v>
      </c>
    </row>
    <row r="22" spans="2:12" x14ac:dyDescent="0.15">
      <c r="B22">
        <v>18</v>
      </c>
      <c r="C22">
        <f t="shared" si="0"/>
        <v>1.8849555921538759</v>
      </c>
      <c r="D22">
        <f t="shared" si="1"/>
        <v>0.95105651629515364</v>
      </c>
      <c r="E22">
        <f t="shared" si="2"/>
        <v>-0.30901699437494734</v>
      </c>
      <c r="F22">
        <f t="shared" si="3"/>
        <v>352.28710711672619</v>
      </c>
      <c r="G22">
        <f t="shared" si="4"/>
        <v>-95.951565388281637</v>
      </c>
      <c r="H22">
        <f t="shared" si="5"/>
        <v>-47.975782694140818</v>
      </c>
      <c r="I22">
        <f t="shared" si="6"/>
        <v>-80</v>
      </c>
      <c r="J22">
        <f t="shared" si="7"/>
        <v>243</v>
      </c>
      <c r="K22">
        <f t="shared" si="8"/>
        <v>352</v>
      </c>
      <c r="L22">
        <f t="shared" si="9"/>
        <v>144</v>
      </c>
    </row>
    <row r="23" spans="2:12" x14ac:dyDescent="0.15">
      <c r="B23">
        <v>19</v>
      </c>
      <c r="C23">
        <f t="shared" si="0"/>
        <v>1.9896753472735356</v>
      </c>
      <c r="D23">
        <f t="shared" si="1"/>
        <v>0.91354545764260098</v>
      </c>
      <c r="E23">
        <f t="shared" si="2"/>
        <v>-0.40673664307580004</v>
      </c>
      <c r="F23">
        <f t="shared" si="3"/>
        <v>369.90506830040192</v>
      </c>
      <c r="G23">
        <f t="shared" si="4"/>
        <v>-80.219160116524819</v>
      </c>
      <c r="H23">
        <f t="shared" si="5"/>
        <v>-40.109580058262409</v>
      </c>
      <c r="I23">
        <f t="shared" si="6"/>
        <v>-105</v>
      </c>
      <c r="J23">
        <f t="shared" si="7"/>
        <v>233</v>
      </c>
      <c r="K23">
        <f t="shared" si="8"/>
        <v>369</v>
      </c>
      <c r="L23">
        <f t="shared" si="9"/>
        <v>151</v>
      </c>
    </row>
    <row r="24" spans="2:12" x14ac:dyDescent="0.15">
      <c r="B24">
        <v>20</v>
      </c>
      <c r="C24">
        <f t="shared" si="0"/>
        <v>2.0943951023931953</v>
      </c>
      <c r="D24">
        <f t="shared" si="1"/>
        <v>0.86602540378443871</v>
      </c>
      <c r="E24">
        <f t="shared" si="2"/>
        <v>-0.49999999999999978</v>
      </c>
      <c r="F24">
        <f t="shared" si="3"/>
        <v>385.78203230275506</v>
      </c>
      <c r="G24">
        <f t="shared" si="4"/>
        <v>-62.731360198516583</v>
      </c>
      <c r="H24">
        <f t="shared" si="5"/>
        <v>-31.365680099258292</v>
      </c>
      <c r="I24">
        <f t="shared" si="6"/>
        <v>-128</v>
      </c>
      <c r="J24">
        <f t="shared" si="7"/>
        <v>221</v>
      </c>
      <c r="K24">
        <f t="shared" si="8"/>
        <v>385</v>
      </c>
      <c r="L24">
        <f t="shared" si="9"/>
        <v>160</v>
      </c>
    </row>
    <row r="25" spans="2:12" x14ac:dyDescent="0.15">
      <c r="B25">
        <v>21</v>
      </c>
      <c r="C25">
        <f t="shared" si="0"/>
        <v>2.1991148575128552</v>
      </c>
      <c r="D25">
        <f t="shared" si="1"/>
        <v>0.80901699437494745</v>
      </c>
      <c r="E25">
        <f t="shared" si="2"/>
        <v>-0.58778525229247303</v>
      </c>
      <c r="F25">
        <f t="shared" si="3"/>
        <v>399.74404778370757</v>
      </c>
      <c r="G25">
        <f t="shared" si="4"/>
        <v>-43.679765629716059</v>
      </c>
      <c r="H25">
        <f t="shared" si="5"/>
        <v>-21.839882814858029</v>
      </c>
      <c r="I25">
        <f t="shared" si="6"/>
        <v>-151</v>
      </c>
      <c r="J25">
        <f t="shared" si="7"/>
        <v>207</v>
      </c>
      <c r="K25">
        <f t="shared" si="8"/>
        <v>399</v>
      </c>
      <c r="L25">
        <f t="shared" si="9"/>
        <v>170</v>
      </c>
    </row>
    <row r="26" spans="2:12" x14ac:dyDescent="0.15">
      <c r="B26">
        <v>22</v>
      </c>
      <c r="C26">
        <f t="shared" si="0"/>
        <v>2.3038346126325147</v>
      </c>
      <c r="D26">
        <f t="shared" si="1"/>
        <v>0.74314482547739447</v>
      </c>
      <c r="E26">
        <f t="shared" si="2"/>
        <v>-0.6691306063588579</v>
      </c>
      <c r="F26">
        <f t="shared" si="3"/>
        <v>411.63814397991058</v>
      </c>
      <c r="G26">
        <f t="shared" si="4"/>
        <v>-23.273109667021615</v>
      </c>
      <c r="H26">
        <f t="shared" si="5"/>
        <v>-11.636554833510807</v>
      </c>
      <c r="I26">
        <f t="shared" si="6"/>
        <v>-172</v>
      </c>
      <c r="J26">
        <f t="shared" si="7"/>
        <v>190</v>
      </c>
      <c r="K26">
        <f t="shared" si="8"/>
        <v>411</v>
      </c>
      <c r="L26">
        <f t="shared" si="9"/>
        <v>180</v>
      </c>
    </row>
    <row r="27" spans="2:12" x14ac:dyDescent="0.15">
      <c r="B27">
        <v>23</v>
      </c>
      <c r="C27">
        <f t="shared" si="0"/>
        <v>2.408554367752175</v>
      </c>
      <c r="D27">
        <f t="shared" si="1"/>
        <v>0.66913060635885802</v>
      </c>
      <c r="E27">
        <f t="shared" si="2"/>
        <v>-0.74314482547739436</v>
      </c>
      <c r="F27">
        <f t="shared" si="3"/>
        <v>421.33400668443892</v>
      </c>
      <c r="G27">
        <f t="shared" si="4"/>
        <v>-1.7349719035274802</v>
      </c>
      <c r="H27">
        <f t="shared" si="5"/>
        <v>-0.8674859517637401</v>
      </c>
      <c r="I27">
        <f t="shared" si="6"/>
        <v>-191</v>
      </c>
      <c r="J27">
        <f t="shared" si="7"/>
        <v>171</v>
      </c>
      <c r="K27">
        <f t="shared" si="8"/>
        <v>421</v>
      </c>
      <c r="L27">
        <f t="shared" si="9"/>
        <v>191</v>
      </c>
    </row>
    <row r="28" spans="2:12" x14ac:dyDescent="0.15">
      <c r="B28">
        <v>24</v>
      </c>
      <c r="C28">
        <f t="shared" si="0"/>
        <v>2.5132741228718345</v>
      </c>
      <c r="D28">
        <f t="shared" si="1"/>
        <v>0.58778525229247325</v>
      </c>
      <c r="E28">
        <f t="shared" si="2"/>
        <v>-0.80901699437494734</v>
      </c>
      <c r="F28">
        <f t="shared" si="3"/>
        <v>428.72540599651177</v>
      </c>
      <c r="G28">
        <f t="shared" si="4"/>
        <v>20.698671316283921</v>
      </c>
      <c r="H28">
        <f t="shared" si="5"/>
        <v>10.34933565814196</v>
      </c>
      <c r="I28">
        <f t="shared" si="6"/>
        <v>-208</v>
      </c>
      <c r="J28">
        <f t="shared" si="7"/>
        <v>150</v>
      </c>
      <c r="K28">
        <f t="shared" si="8"/>
        <v>428</v>
      </c>
      <c r="L28">
        <f t="shared" si="9"/>
        <v>202</v>
      </c>
    </row>
    <row r="29" spans="2:12" x14ac:dyDescent="0.15">
      <c r="B29">
        <v>25</v>
      </c>
      <c r="C29">
        <f t="shared" si="0"/>
        <v>2.6179938779914944</v>
      </c>
      <c r="D29">
        <f t="shared" si="1"/>
        <v>0.49999999999999994</v>
      </c>
      <c r="E29">
        <f t="shared" si="2"/>
        <v>-0.86602540378443871</v>
      </c>
      <c r="F29">
        <f t="shared" si="3"/>
        <v>433.73136019851654</v>
      </c>
      <c r="G29">
        <f t="shared" si="4"/>
        <v>43.782032302755113</v>
      </c>
      <c r="H29">
        <f t="shared" si="5"/>
        <v>21.891016151377556</v>
      </c>
      <c r="I29">
        <f t="shared" si="6"/>
        <v>-222</v>
      </c>
      <c r="J29">
        <f t="shared" si="7"/>
        <v>128</v>
      </c>
      <c r="K29">
        <f t="shared" si="8"/>
        <v>433</v>
      </c>
      <c r="L29">
        <f t="shared" si="9"/>
        <v>213</v>
      </c>
    </row>
    <row r="30" spans="2:12" x14ac:dyDescent="0.15">
      <c r="B30">
        <v>26</v>
      </c>
      <c r="C30">
        <f t="shared" si="0"/>
        <v>2.7227136331111543</v>
      </c>
      <c r="D30">
        <f t="shared" si="1"/>
        <v>0.40673664307580004</v>
      </c>
      <c r="E30">
        <f t="shared" si="2"/>
        <v>-0.91354545764260098</v>
      </c>
      <c r="F30">
        <f t="shared" si="3"/>
        <v>436.29702300865279</v>
      </c>
      <c r="G30">
        <f t="shared" si="4"/>
        <v>67.26220492241427</v>
      </c>
      <c r="H30">
        <f t="shared" si="5"/>
        <v>33.631102461207135</v>
      </c>
      <c r="I30">
        <f t="shared" si="6"/>
        <v>-234</v>
      </c>
      <c r="J30">
        <f t="shared" si="7"/>
        <v>104</v>
      </c>
      <c r="K30">
        <f t="shared" si="8"/>
        <v>436</v>
      </c>
      <c r="L30">
        <f t="shared" si="9"/>
        <v>225</v>
      </c>
    </row>
    <row r="31" spans="2:12" x14ac:dyDescent="0.15">
      <c r="B31">
        <v>27</v>
      </c>
      <c r="C31">
        <f t="shared" si="0"/>
        <v>2.8274333882308138</v>
      </c>
      <c r="D31">
        <f t="shared" si="1"/>
        <v>0.30901699437494751</v>
      </c>
      <c r="E31">
        <f t="shared" si="2"/>
        <v>-0.95105651629515353</v>
      </c>
      <c r="F31">
        <f t="shared" si="3"/>
        <v>436.39428448827317</v>
      </c>
      <c r="G31">
        <f t="shared" si="4"/>
        <v>90.88193549049835</v>
      </c>
      <c r="H31">
        <f t="shared" si="5"/>
        <v>45.440967745249175</v>
      </c>
      <c r="I31">
        <f t="shared" si="6"/>
        <v>-244</v>
      </c>
      <c r="J31">
        <f t="shared" si="7"/>
        <v>79</v>
      </c>
      <c r="K31">
        <f t="shared" si="8"/>
        <v>436</v>
      </c>
      <c r="L31">
        <f t="shared" si="9"/>
        <v>237</v>
      </c>
    </row>
    <row r="32" spans="2:12" x14ac:dyDescent="0.15">
      <c r="B32">
        <v>28</v>
      </c>
      <c r="C32">
        <f t="shared" si="0"/>
        <v>2.9321531433504737</v>
      </c>
      <c r="D32">
        <f t="shared" si="1"/>
        <v>0.20791169081775931</v>
      </c>
      <c r="E32">
        <f t="shared" si="2"/>
        <v>-0.97814760073380569</v>
      </c>
      <c r="F32">
        <f t="shared" si="3"/>
        <v>434.02207902025378</v>
      </c>
      <c r="G32">
        <f t="shared" si="4"/>
        <v>114.38244129615724</v>
      </c>
      <c r="H32">
        <f t="shared" si="5"/>
        <v>57.19122064807862</v>
      </c>
      <c r="I32">
        <f t="shared" si="6"/>
        <v>-251</v>
      </c>
      <c r="J32">
        <f t="shared" si="7"/>
        <v>53</v>
      </c>
      <c r="K32">
        <f t="shared" si="8"/>
        <v>434</v>
      </c>
      <c r="L32">
        <f t="shared" si="9"/>
        <v>249</v>
      </c>
    </row>
    <row r="33" spans="2:12" x14ac:dyDescent="0.15">
      <c r="B33">
        <v>29</v>
      </c>
      <c r="C33">
        <f t="shared" si="0"/>
        <v>3.0368728984701332</v>
      </c>
      <c r="D33">
        <f t="shared" si="1"/>
        <v>0.10452846326765373</v>
      </c>
      <c r="E33">
        <f t="shared" si="2"/>
        <v>-0.99452189536827329</v>
      </c>
      <c r="F33">
        <f t="shared" si="3"/>
        <v>429.20639698411793</v>
      </c>
      <c r="G33">
        <f t="shared" si="4"/>
        <v>137.50624587998692</v>
      </c>
      <c r="H33">
        <f t="shared" si="5"/>
        <v>68.75312293999346</v>
      </c>
      <c r="I33">
        <f t="shared" si="6"/>
        <v>-255</v>
      </c>
      <c r="J33">
        <f t="shared" si="7"/>
        <v>26</v>
      </c>
      <c r="K33">
        <f t="shared" si="8"/>
        <v>429</v>
      </c>
      <c r="L33">
        <f t="shared" si="9"/>
        <v>260</v>
      </c>
    </row>
    <row r="34" spans="2:12" x14ac:dyDescent="0.15">
      <c r="B34">
        <v>30</v>
      </c>
      <c r="C34">
        <f t="shared" si="0"/>
        <v>3.1415926535897931</v>
      </c>
      <c r="D34">
        <f t="shared" si="1"/>
        <v>1.22514845490862E-16</v>
      </c>
      <c r="E34">
        <f t="shared" si="2"/>
        <v>-1</v>
      </c>
      <c r="F34">
        <f t="shared" si="3"/>
        <v>422</v>
      </c>
      <c r="G34">
        <f t="shared" si="4"/>
        <v>159.99999999999997</v>
      </c>
      <c r="H34">
        <f t="shared" si="5"/>
        <v>79.999999999999986</v>
      </c>
      <c r="I34">
        <f t="shared" si="6"/>
        <v>-256</v>
      </c>
      <c r="J34">
        <f t="shared" si="7"/>
        <v>0</v>
      </c>
      <c r="K34">
        <f t="shared" si="8"/>
        <v>422</v>
      </c>
      <c r="L34">
        <f t="shared" si="9"/>
        <v>272</v>
      </c>
    </row>
    <row r="35" spans="2:12" x14ac:dyDescent="0.15">
      <c r="B35">
        <v>31</v>
      </c>
      <c r="C35">
        <f t="shared" si="0"/>
        <v>3.246312408709453</v>
      </c>
      <c r="D35">
        <f t="shared" si="1"/>
        <v>-0.1045284632676535</v>
      </c>
      <c r="E35">
        <f t="shared" si="2"/>
        <v>-0.99452189536827329</v>
      </c>
      <c r="F35">
        <f t="shared" si="3"/>
        <v>412.48184286129339</v>
      </c>
      <c r="G35">
        <f t="shared" si="4"/>
        <v>181.61725737893676</v>
      </c>
      <c r="H35">
        <f t="shared" si="5"/>
        <v>90.808628689468378</v>
      </c>
      <c r="I35">
        <f t="shared" si="6"/>
        <v>-255</v>
      </c>
      <c r="J35">
        <f t="shared" si="7"/>
        <v>-27</v>
      </c>
      <c r="K35">
        <f t="shared" si="8"/>
        <v>412</v>
      </c>
      <c r="L35">
        <f t="shared" si="9"/>
        <v>282</v>
      </c>
    </row>
    <row r="36" spans="2:12" x14ac:dyDescent="0.15">
      <c r="B36">
        <v>32</v>
      </c>
      <c r="C36">
        <f t="shared" si="0"/>
        <v>3.3510321638291125</v>
      </c>
      <c r="D36">
        <f t="shared" si="1"/>
        <v>-0.20791169081775907</v>
      </c>
      <c r="E36">
        <f t="shared" si="2"/>
        <v>-0.97814760073380569</v>
      </c>
      <c r="F36">
        <f t="shared" si="3"/>
        <v>400.7562084894123</v>
      </c>
      <c r="G36">
        <f t="shared" si="4"/>
        <v>202.12117482125163</v>
      </c>
      <c r="H36">
        <f t="shared" si="5"/>
        <v>101.06058741062581</v>
      </c>
      <c r="I36">
        <f t="shared" si="6"/>
        <v>-251</v>
      </c>
      <c r="J36">
        <f t="shared" si="7"/>
        <v>-54</v>
      </c>
      <c r="K36">
        <f t="shared" si="8"/>
        <v>400</v>
      </c>
      <c r="L36">
        <f t="shared" si="9"/>
        <v>293</v>
      </c>
    </row>
    <row r="37" spans="2:12" x14ac:dyDescent="0.15">
      <c r="B37">
        <v>33</v>
      </c>
      <c r="C37">
        <f t="shared" si="0"/>
        <v>3.4557519189487729</v>
      </c>
      <c r="D37">
        <f t="shared" si="1"/>
        <v>-0.30901699437494773</v>
      </c>
      <c r="E37">
        <f t="shared" si="2"/>
        <v>-0.95105651629515353</v>
      </c>
      <c r="F37">
        <f t="shared" si="3"/>
        <v>386.95156538828155</v>
      </c>
      <c r="G37">
        <f t="shared" si="4"/>
        <v>221.28710711672625</v>
      </c>
      <c r="H37">
        <f t="shared" si="5"/>
        <v>110.64355355836312</v>
      </c>
      <c r="I37">
        <f t="shared" si="6"/>
        <v>-244</v>
      </c>
      <c r="J37">
        <f t="shared" si="7"/>
        <v>-80</v>
      </c>
      <c r="K37">
        <f t="shared" si="8"/>
        <v>386</v>
      </c>
      <c r="L37">
        <f t="shared" si="9"/>
        <v>302</v>
      </c>
    </row>
    <row r="38" spans="2:12" x14ac:dyDescent="0.15">
      <c r="B38">
        <v>34</v>
      </c>
      <c r="C38">
        <f t="shared" si="0"/>
        <v>3.5604716740684319</v>
      </c>
      <c r="D38">
        <f t="shared" si="1"/>
        <v>-0.40673664307579982</v>
      </c>
      <c r="E38">
        <f t="shared" si="2"/>
        <v>-0.91354545764260109</v>
      </c>
      <c r="F38">
        <f t="shared" si="3"/>
        <v>371.21916011652479</v>
      </c>
      <c r="G38">
        <f t="shared" si="4"/>
        <v>238.90506830040184</v>
      </c>
      <c r="H38">
        <f t="shared" si="5"/>
        <v>119.45253415020092</v>
      </c>
      <c r="I38">
        <f t="shared" si="6"/>
        <v>-234</v>
      </c>
      <c r="J38">
        <f t="shared" si="7"/>
        <v>-105</v>
      </c>
      <c r="K38">
        <f t="shared" si="8"/>
        <v>371</v>
      </c>
      <c r="L38">
        <f t="shared" si="9"/>
        <v>311</v>
      </c>
    </row>
    <row r="39" spans="2:12" x14ac:dyDescent="0.15">
      <c r="B39">
        <v>35</v>
      </c>
      <c r="C39">
        <f t="shared" si="0"/>
        <v>3.6651914291880923</v>
      </c>
      <c r="D39">
        <f t="shared" si="1"/>
        <v>-0.50000000000000011</v>
      </c>
      <c r="E39">
        <f t="shared" si="2"/>
        <v>-0.8660254037844386</v>
      </c>
      <c r="F39">
        <f t="shared" si="3"/>
        <v>353.73136019851654</v>
      </c>
      <c r="G39">
        <f t="shared" si="4"/>
        <v>254.78203230275511</v>
      </c>
      <c r="H39">
        <f t="shared" si="5"/>
        <v>127.39101615137756</v>
      </c>
      <c r="I39">
        <f t="shared" si="6"/>
        <v>-222</v>
      </c>
      <c r="J39">
        <f t="shared" si="7"/>
        <v>-128</v>
      </c>
      <c r="K39">
        <f t="shared" si="8"/>
        <v>353</v>
      </c>
      <c r="L39">
        <f t="shared" si="9"/>
        <v>319</v>
      </c>
    </row>
    <row r="40" spans="2:12" x14ac:dyDescent="0.15">
      <c r="B40">
        <v>36</v>
      </c>
      <c r="C40">
        <f t="shared" si="0"/>
        <v>3.7699111843077517</v>
      </c>
      <c r="D40">
        <f t="shared" si="1"/>
        <v>-0.58778525229247303</v>
      </c>
      <c r="E40">
        <f t="shared" si="2"/>
        <v>-0.80901699437494756</v>
      </c>
      <c r="F40">
        <f t="shared" si="3"/>
        <v>334.67976562971614</v>
      </c>
      <c r="G40">
        <f t="shared" si="4"/>
        <v>268.74404778370763</v>
      </c>
      <c r="H40">
        <f t="shared" si="5"/>
        <v>134.37202389185381</v>
      </c>
      <c r="I40">
        <f t="shared" si="6"/>
        <v>-208</v>
      </c>
      <c r="J40">
        <f t="shared" si="7"/>
        <v>-151</v>
      </c>
      <c r="K40">
        <f t="shared" si="8"/>
        <v>334</v>
      </c>
      <c r="L40">
        <f t="shared" si="9"/>
        <v>326</v>
      </c>
    </row>
    <row r="41" spans="2:12" x14ac:dyDescent="0.15">
      <c r="B41">
        <v>37</v>
      </c>
      <c r="C41">
        <f t="shared" si="0"/>
        <v>3.8746309394274117</v>
      </c>
      <c r="D41">
        <f t="shared" si="1"/>
        <v>-0.66913060635885824</v>
      </c>
      <c r="E41">
        <f t="shared" si="2"/>
        <v>-0.74314482547739424</v>
      </c>
      <c r="F41">
        <f t="shared" si="3"/>
        <v>314.27310966702152</v>
      </c>
      <c r="G41">
        <f t="shared" si="4"/>
        <v>280.63814397991064</v>
      </c>
      <c r="H41">
        <f t="shared" si="5"/>
        <v>140.31907198995532</v>
      </c>
      <c r="I41">
        <f t="shared" si="6"/>
        <v>-191</v>
      </c>
      <c r="J41">
        <f t="shared" si="7"/>
        <v>-172</v>
      </c>
      <c r="K41">
        <f t="shared" si="8"/>
        <v>314</v>
      </c>
      <c r="L41">
        <f t="shared" si="9"/>
        <v>332</v>
      </c>
    </row>
    <row r="42" spans="2:12" x14ac:dyDescent="0.15">
      <c r="B42">
        <v>38</v>
      </c>
      <c r="C42">
        <f t="shared" si="0"/>
        <v>3.9793506945470711</v>
      </c>
      <c r="D42">
        <f t="shared" si="1"/>
        <v>-0.74314482547739402</v>
      </c>
      <c r="E42">
        <f t="shared" si="2"/>
        <v>-0.66913060635885846</v>
      </c>
      <c r="F42">
        <f t="shared" si="3"/>
        <v>292.73497190352759</v>
      </c>
      <c r="G42">
        <f t="shared" si="4"/>
        <v>290.3340066844388</v>
      </c>
      <c r="H42">
        <f t="shared" si="5"/>
        <v>145.1670033422194</v>
      </c>
      <c r="I42">
        <f t="shared" si="6"/>
        <v>-172</v>
      </c>
      <c r="J42">
        <f t="shared" si="7"/>
        <v>-191</v>
      </c>
      <c r="K42">
        <f t="shared" si="8"/>
        <v>292</v>
      </c>
      <c r="L42">
        <f t="shared" si="9"/>
        <v>337</v>
      </c>
    </row>
    <row r="43" spans="2:12" x14ac:dyDescent="0.15">
      <c r="B43">
        <v>39</v>
      </c>
      <c r="C43">
        <f t="shared" si="0"/>
        <v>4.0840704496667311</v>
      </c>
      <c r="D43">
        <f t="shared" si="1"/>
        <v>-0.80901699437494734</v>
      </c>
      <c r="E43">
        <f t="shared" si="2"/>
        <v>-0.58778525229247325</v>
      </c>
      <c r="F43">
        <f t="shared" si="3"/>
        <v>270.30132868371606</v>
      </c>
      <c r="G43">
        <f t="shared" si="4"/>
        <v>297.72540599651177</v>
      </c>
      <c r="H43">
        <f t="shared" si="5"/>
        <v>148.86270299825588</v>
      </c>
      <c r="I43">
        <f t="shared" si="6"/>
        <v>-151</v>
      </c>
      <c r="J43">
        <f t="shared" si="7"/>
        <v>-208</v>
      </c>
      <c r="K43">
        <f t="shared" si="8"/>
        <v>270</v>
      </c>
      <c r="L43">
        <f t="shared" si="9"/>
        <v>340</v>
      </c>
    </row>
    <row r="44" spans="2:12" x14ac:dyDescent="0.15">
      <c r="B44">
        <v>40</v>
      </c>
      <c r="C44">
        <f t="shared" si="0"/>
        <v>4.1887902047863905</v>
      </c>
      <c r="D44">
        <f t="shared" si="1"/>
        <v>-0.86602540378443837</v>
      </c>
      <c r="E44">
        <f t="shared" si="2"/>
        <v>-0.50000000000000044</v>
      </c>
      <c r="F44">
        <f t="shared" si="3"/>
        <v>247.21796769724506</v>
      </c>
      <c r="G44">
        <f t="shared" si="4"/>
        <v>302.73136019851654</v>
      </c>
      <c r="H44">
        <f t="shared" si="5"/>
        <v>151.36568009925827</v>
      </c>
      <c r="I44">
        <f t="shared" si="6"/>
        <v>-128</v>
      </c>
      <c r="J44">
        <f t="shared" si="7"/>
        <v>-222</v>
      </c>
      <c r="K44">
        <f t="shared" si="8"/>
        <v>247</v>
      </c>
      <c r="L44">
        <f t="shared" si="9"/>
        <v>343</v>
      </c>
    </row>
    <row r="45" spans="2:12" x14ac:dyDescent="0.15">
      <c r="B45">
        <v>41</v>
      </c>
      <c r="C45">
        <f t="shared" si="0"/>
        <v>4.2935099599060509</v>
      </c>
      <c r="D45">
        <f t="shared" si="1"/>
        <v>-0.91354545764260098</v>
      </c>
      <c r="E45">
        <f t="shared" si="2"/>
        <v>-0.4067366430758001</v>
      </c>
      <c r="F45">
        <f t="shared" si="3"/>
        <v>223.73779507758573</v>
      </c>
      <c r="G45">
        <f t="shared" si="4"/>
        <v>305.29702300865279</v>
      </c>
      <c r="H45">
        <f t="shared" si="5"/>
        <v>152.64851150432639</v>
      </c>
      <c r="I45">
        <f t="shared" si="6"/>
        <v>-105</v>
      </c>
      <c r="J45">
        <f t="shared" si="7"/>
        <v>-234</v>
      </c>
      <c r="K45">
        <f t="shared" si="8"/>
        <v>223</v>
      </c>
      <c r="L45">
        <f t="shared" si="9"/>
        <v>344</v>
      </c>
    </row>
    <row r="46" spans="2:12" x14ac:dyDescent="0.15">
      <c r="B46">
        <v>42</v>
      </c>
      <c r="C46">
        <f t="shared" si="0"/>
        <v>4.3982297150257104</v>
      </c>
      <c r="D46">
        <f t="shared" si="1"/>
        <v>-0.95105651629515353</v>
      </c>
      <c r="E46">
        <f t="shared" si="2"/>
        <v>-0.30901699437494756</v>
      </c>
      <c r="F46">
        <f t="shared" si="3"/>
        <v>200.11806450950166</v>
      </c>
      <c r="G46">
        <f t="shared" si="4"/>
        <v>305.39428448827317</v>
      </c>
      <c r="H46">
        <f t="shared" si="5"/>
        <v>152.69714224413659</v>
      </c>
      <c r="I46">
        <f t="shared" si="6"/>
        <v>-80</v>
      </c>
      <c r="J46">
        <f t="shared" si="7"/>
        <v>-244</v>
      </c>
      <c r="K46">
        <f t="shared" si="8"/>
        <v>200</v>
      </c>
      <c r="L46">
        <f t="shared" si="9"/>
        <v>344</v>
      </c>
    </row>
    <row r="47" spans="2:12" x14ac:dyDescent="0.15">
      <c r="B47">
        <v>43</v>
      </c>
      <c r="C47">
        <f t="shared" si="0"/>
        <v>4.5029494701453698</v>
      </c>
      <c r="D47">
        <f t="shared" si="1"/>
        <v>-0.97814760073380558</v>
      </c>
      <c r="E47">
        <f t="shared" si="2"/>
        <v>-0.20791169081775979</v>
      </c>
      <c r="F47">
        <f t="shared" si="3"/>
        <v>176.61755870384286</v>
      </c>
      <c r="G47">
        <f t="shared" si="4"/>
        <v>303.02207902025373</v>
      </c>
      <c r="H47">
        <f t="shared" si="5"/>
        <v>151.51103951012686</v>
      </c>
      <c r="I47">
        <f t="shared" si="6"/>
        <v>-54</v>
      </c>
      <c r="J47">
        <f t="shared" si="7"/>
        <v>-251</v>
      </c>
      <c r="K47">
        <f t="shared" si="8"/>
        <v>176</v>
      </c>
      <c r="L47">
        <f t="shared" si="9"/>
        <v>343</v>
      </c>
    </row>
    <row r="48" spans="2:12" x14ac:dyDescent="0.15">
      <c r="B48">
        <v>44</v>
      </c>
      <c r="C48">
        <f t="shared" si="0"/>
        <v>4.6076692252650293</v>
      </c>
      <c r="D48">
        <f t="shared" si="1"/>
        <v>-0.99452189536827329</v>
      </c>
      <c r="E48">
        <f t="shared" si="2"/>
        <v>-0.10452846326765423</v>
      </c>
      <c r="F48">
        <f t="shared" si="3"/>
        <v>153.49375412001316</v>
      </c>
      <c r="G48">
        <f t="shared" si="4"/>
        <v>298.20639698411799</v>
      </c>
      <c r="H48">
        <f t="shared" si="5"/>
        <v>149.10319849205899</v>
      </c>
      <c r="I48">
        <f t="shared" si="6"/>
        <v>-27</v>
      </c>
      <c r="J48">
        <f t="shared" si="7"/>
        <v>-255</v>
      </c>
      <c r="K48">
        <f t="shared" si="8"/>
        <v>153</v>
      </c>
      <c r="L48">
        <f t="shared" si="9"/>
        <v>341</v>
      </c>
    </row>
    <row r="49" spans="2:12" x14ac:dyDescent="0.15">
      <c r="B49">
        <v>45</v>
      </c>
      <c r="C49">
        <f t="shared" si="0"/>
        <v>4.7123889803846897</v>
      </c>
      <c r="D49">
        <f t="shared" si="1"/>
        <v>-1</v>
      </c>
      <c r="E49">
        <f t="shared" si="2"/>
        <v>-1.83772268236293E-16</v>
      </c>
      <c r="F49">
        <f t="shared" si="3"/>
        <v>131.00000000000003</v>
      </c>
      <c r="G49">
        <f t="shared" si="4"/>
        <v>291</v>
      </c>
      <c r="H49">
        <f t="shared" si="5"/>
        <v>145.5</v>
      </c>
      <c r="I49">
        <f t="shared" si="6"/>
        <v>-1</v>
      </c>
      <c r="J49">
        <f t="shared" si="7"/>
        <v>-256</v>
      </c>
      <c r="K49">
        <f t="shared" si="8"/>
        <v>131</v>
      </c>
      <c r="L49">
        <f t="shared" si="9"/>
        <v>337</v>
      </c>
    </row>
    <row r="50" spans="2:12" x14ac:dyDescent="0.15">
      <c r="B50">
        <v>46</v>
      </c>
      <c r="C50">
        <f t="shared" si="0"/>
        <v>4.81710873550435</v>
      </c>
      <c r="D50">
        <f t="shared" si="1"/>
        <v>-0.99452189536827329</v>
      </c>
      <c r="E50">
        <f t="shared" si="2"/>
        <v>0.10452846326765387</v>
      </c>
      <c r="F50">
        <f t="shared" si="3"/>
        <v>109.38274262106316</v>
      </c>
      <c r="G50">
        <f t="shared" si="4"/>
        <v>281.48184286129333</v>
      </c>
      <c r="H50">
        <f t="shared" si="5"/>
        <v>140.74092143064667</v>
      </c>
      <c r="I50">
        <f t="shared" si="6"/>
        <v>26</v>
      </c>
      <c r="J50">
        <f t="shared" si="7"/>
        <v>-255</v>
      </c>
      <c r="K50">
        <f t="shared" si="8"/>
        <v>109</v>
      </c>
      <c r="L50">
        <f t="shared" si="9"/>
        <v>332</v>
      </c>
    </row>
    <row r="51" spans="2:12" x14ac:dyDescent="0.15">
      <c r="B51">
        <v>47</v>
      </c>
      <c r="C51">
        <f t="shared" si="0"/>
        <v>4.9218284906240095</v>
      </c>
      <c r="D51">
        <f t="shared" si="1"/>
        <v>-0.97814760073380558</v>
      </c>
      <c r="E51">
        <f t="shared" si="2"/>
        <v>0.20791169081775943</v>
      </c>
      <c r="F51">
        <f t="shared" si="3"/>
        <v>88.878825178748329</v>
      </c>
      <c r="G51">
        <f t="shared" si="4"/>
        <v>269.75620848941219</v>
      </c>
      <c r="H51">
        <f t="shared" si="5"/>
        <v>134.87810424470609</v>
      </c>
      <c r="I51">
        <f t="shared" si="6"/>
        <v>53</v>
      </c>
      <c r="J51">
        <f t="shared" si="7"/>
        <v>-251</v>
      </c>
      <c r="K51">
        <f t="shared" si="8"/>
        <v>88</v>
      </c>
      <c r="L51">
        <f t="shared" si="9"/>
        <v>326</v>
      </c>
    </row>
    <row r="52" spans="2:12" x14ac:dyDescent="0.15">
      <c r="B52">
        <v>48</v>
      </c>
      <c r="C52">
        <f t="shared" si="0"/>
        <v>5.026548245743669</v>
      </c>
      <c r="D52">
        <f t="shared" si="1"/>
        <v>-0.95105651629515364</v>
      </c>
      <c r="E52">
        <f t="shared" si="2"/>
        <v>0.30901699437494723</v>
      </c>
      <c r="F52">
        <f t="shared" si="3"/>
        <v>69.712892883273838</v>
      </c>
      <c r="G52">
        <f t="shared" si="4"/>
        <v>255.95156538828167</v>
      </c>
      <c r="H52">
        <f t="shared" si="5"/>
        <v>127.97578269414083</v>
      </c>
      <c r="I52">
        <f t="shared" si="6"/>
        <v>79</v>
      </c>
      <c r="J52">
        <f t="shared" si="7"/>
        <v>-244</v>
      </c>
      <c r="K52">
        <f t="shared" si="8"/>
        <v>69</v>
      </c>
      <c r="L52">
        <f t="shared" si="9"/>
        <v>319</v>
      </c>
    </row>
    <row r="53" spans="2:12" x14ac:dyDescent="0.15">
      <c r="B53">
        <v>49</v>
      </c>
      <c r="C53">
        <f t="shared" si="0"/>
        <v>5.1312680008633285</v>
      </c>
      <c r="D53">
        <f t="shared" si="1"/>
        <v>-0.91354545764260109</v>
      </c>
      <c r="E53">
        <f t="shared" si="2"/>
        <v>0.40673664307579976</v>
      </c>
      <c r="F53">
        <f t="shared" si="3"/>
        <v>52.094931699598163</v>
      </c>
      <c r="G53">
        <f t="shared" si="4"/>
        <v>240.21916011652479</v>
      </c>
      <c r="H53">
        <f t="shared" si="5"/>
        <v>120.1095800582624</v>
      </c>
      <c r="I53">
        <f t="shared" si="6"/>
        <v>104</v>
      </c>
      <c r="J53">
        <f t="shared" si="7"/>
        <v>-234</v>
      </c>
      <c r="K53">
        <f t="shared" si="8"/>
        <v>52</v>
      </c>
      <c r="L53">
        <f t="shared" si="9"/>
        <v>312</v>
      </c>
    </row>
    <row r="54" spans="2:12" x14ac:dyDescent="0.15">
      <c r="B54">
        <v>50</v>
      </c>
      <c r="C54">
        <f t="shared" si="0"/>
        <v>5.2359877559829888</v>
      </c>
      <c r="D54">
        <f t="shared" si="1"/>
        <v>-0.8660254037844386</v>
      </c>
      <c r="E54">
        <f t="shared" si="2"/>
        <v>0.50000000000000011</v>
      </c>
      <c r="F54">
        <f t="shared" si="3"/>
        <v>36.217967697244887</v>
      </c>
      <c r="G54">
        <f t="shared" si="4"/>
        <v>222.73136019851654</v>
      </c>
      <c r="H54">
        <f t="shared" si="5"/>
        <v>111.36568009925827</v>
      </c>
      <c r="I54">
        <f t="shared" si="6"/>
        <v>128</v>
      </c>
      <c r="J54">
        <f t="shared" si="7"/>
        <v>-222</v>
      </c>
      <c r="K54">
        <f t="shared" si="8"/>
        <v>36</v>
      </c>
      <c r="L54">
        <f t="shared" si="9"/>
        <v>303</v>
      </c>
    </row>
    <row r="55" spans="2:12" x14ac:dyDescent="0.15">
      <c r="B55">
        <v>51</v>
      </c>
      <c r="C55">
        <f t="shared" si="0"/>
        <v>5.3407075111026483</v>
      </c>
      <c r="D55">
        <f t="shared" si="1"/>
        <v>-0.80901699437494756</v>
      </c>
      <c r="E55">
        <f t="shared" si="2"/>
        <v>0.58778525229247292</v>
      </c>
      <c r="F55">
        <f t="shared" si="3"/>
        <v>22.2559522162924</v>
      </c>
      <c r="G55">
        <f t="shared" si="4"/>
        <v>203.67976562971609</v>
      </c>
      <c r="H55">
        <f t="shared" si="5"/>
        <v>101.83988281485804</v>
      </c>
      <c r="I55">
        <f t="shared" si="6"/>
        <v>150</v>
      </c>
      <c r="J55">
        <f t="shared" si="7"/>
        <v>-208</v>
      </c>
      <c r="K55">
        <f t="shared" si="8"/>
        <v>22</v>
      </c>
      <c r="L55">
        <f t="shared" si="9"/>
        <v>293</v>
      </c>
    </row>
    <row r="56" spans="2:12" x14ac:dyDescent="0.15">
      <c r="B56">
        <v>52</v>
      </c>
      <c r="C56">
        <f t="shared" si="0"/>
        <v>5.4454272662223087</v>
      </c>
      <c r="D56">
        <f t="shared" si="1"/>
        <v>-0.74314482547739402</v>
      </c>
      <c r="E56">
        <f t="shared" si="2"/>
        <v>0.66913060635885846</v>
      </c>
      <c r="F56">
        <f t="shared" si="3"/>
        <v>10.361856020089334</v>
      </c>
      <c r="G56">
        <f t="shared" si="4"/>
        <v>183.27310966702146</v>
      </c>
      <c r="H56">
        <f t="shared" si="5"/>
        <v>91.636554833510729</v>
      </c>
      <c r="I56">
        <f t="shared" si="6"/>
        <v>171</v>
      </c>
      <c r="J56">
        <f t="shared" si="7"/>
        <v>-191</v>
      </c>
      <c r="K56">
        <f t="shared" si="8"/>
        <v>10</v>
      </c>
      <c r="L56">
        <f t="shared" si="9"/>
        <v>283</v>
      </c>
    </row>
    <row r="57" spans="2:12" x14ac:dyDescent="0.15">
      <c r="B57">
        <v>53</v>
      </c>
      <c r="C57">
        <f t="shared" si="0"/>
        <v>5.5501470213419672</v>
      </c>
      <c r="D57">
        <f t="shared" si="1"/>
        <v>-0.66913060635885879</v>
      </c>
      <c r="E57">
        <f t="shared" si="2"/>
        <v>0.74314482547739369</v>
      </c>
      <c r="F57">
        <f t="shared" si="3"/>
        <v>0.66599331556122365</v>
      </c>
      <c r="G57">
        <f t="shared" si="4"/>
        <v>161.73497190352771</v>
      </c>
      <c r="H57">
        <f t="shared" si="5"/>
        <v>80.867485951763854</v>
      </c>
      <c r="I57">
        <f t="shared" si="6"/>
        <v>190</v>
      </c>
      <c r="J57">
        <f t="shared" si="7"/>
        <v>-172</v>
      </c>
      <c r="K57">
        <f t="shared" si="8"/>
        <v>0</v>
      </c>
      <c r="L57">
        <f t="shared" si="9"/>
        <v>272</v>
      </c>
    </row>
    <row r="58" spans="2:12" x14ac:dyDescent="0.15">
      <c r="B58">
        <v>54</v>
      </c>
      <c r="C58">
        <f t="shared" si="0"/>
        <v>5.6548667764616276</v>
      </c>
      <c r="D58">
        <f t="shared" si="1"/>
        <v>-0.58778525229247336</v>
      </c>
      <c r="E58">
        <f t="shared" si="2"/>
        <v>0.80901699437494734</v>
      </c>
      <c r="F58">
        <f t="shared" si="3"/>
        <v>-6.7254059965117676</v>
      </c>
      <c r="G58">
        <f t="shared" si="4"/>
        <v>139.30132868371609</v>
      </c>
      <c r="H58">
        <f t="shared" si="5"/>
        <v>69.650664341858047</v>
      </c>
      <c r="I58">
        <f t="shared" si="6"/>
        <v>207</v>
      </c>
      <c r="J58">
        <f t="shared" si="7"/>
        <v>-151</v>
      </c>
      <c r="K58">
        <f t="shared" si="8"/>
        <v>-7</v>
      </c>
      <c r="L58">
        <f t="shared" si="9"/>
        <v>261</v>
      </c>
    </row>
    <row r="59" spans="2:12" x14ac:dyDescent="0.15">
      <c r="B59">
        <v>55</v>
      </c>
      <c r="C59">
        <f t="shared" si="0"/>
        <v>5.7595865315812871</v>
      </c>
      <c r="D59">
        <f t="shared" si="1"/>
        <v>-0.50000000000000044</v>
      </c>
      <c r="E59">
        <f t="shared" si="2"/>
        <v>0.86602540378443837</v>
      </c>
      <c r="F59">
        <f t="shared" si="3"/>
        <v>-11.731360198516519</v>
      </c>
      <c r="G59">
        <f t="shared" si="4"/>
        <v>116.21796769724504</v>
      </c>
      <c r="H59">
        <f t="shared" si="5"/>
        <v>58.108983848622522</v>
      </c>
      <c r="I59">
        <f t="shared" si="6"/>
        <v>221</v>
      </c>
      <c r="J59">
        <f t="shared" si="7"/>
        <v>-128</v>
      </c>
      <c r="K59">
        <f t="shared" si="8"/>
        <v>-12</v>
      </c>
      <c r="L59">
        <f t="shared" si="9"/>
        <v>250</v>
      </c>
    </row>
    <row r="60" spans="2:12" x14ac:dyDescent="0.15">
      <c r="B60">
        <v>56</v>
      </c>
      <c r="C60">
        <f t="shared" si="0"/>
        <v>5.8643062867009474</v>
      </c>
      <c r="D60">
        <f t="shared" si="1"/>
        <v>-0.40673664307580015</v>
      </c>
      <c r="E60">
        <f t="shared" si="2"/>
        <v>0.91354545764260098</v>
      </c>
      <c r="F60">
        <f t="shared" si="3"/>
        <v>-14.297023008652829</v>
      </c>
      <c r="G60">
        <f t="shared" si="4"/>
        <v>92.73779507758573</v>
      </c>
      <c r="H60">
        <f t="shared" si="5"/>
        <v>46.368897538792865</v>
      </c>
      <c r="I60">
        <f t="shared" si="6"/>
        <v>233</v>
      </c>
      <c r="J60">
        <f t="shared" si="7"/>
        <v>-105</v>
      </c>
      <c r="K60">
        <f t="shared" si="8"/>
        <v>-15</v>
      </c>
      <c r="L60">
        <f t="shared" si="9"/>
        <v>238</v>
      </c>
    </row>
    <row r="61" spans="2:12" x14ac:dyDescent="0.15">
      <c r="B61">
        <v>57</v>
      </c>
      <c r="C61">
        <f t="shared" si="0"/>
        <v>5.9690260418206069</v>
      </c>
      <c r="D61">
        <f t="shared" si="1"/>
        <v>-0.30901699437494762</v>
      </c>
      <c r="E61">
        <f t="shared" si="2"/>
        <v>0.95105651629515353</v>
      </c>
      <c r="F61">
        <f t="shared" si="3"/>
        <v>-14.3942844882732</v>
      </c>
      <c r="G61">
        <f t="shared" si="4"/>
        <v>69.118064509501679</v>
      </c>
      <c r="H61">
        <f t="shared" si="5"/>
        <v>34.559032254750839</v>
      </c>
      <c r="I61">
        <f t="shared" si="6"/>
        <v>243</v>
      </c>
      <c r="J61">
        <f t="shared" si="7"/>
        <v>-80</v>
      </c>
      <c r="K61">
        <f t="shared" si="8"/>
        <v>-15</v>
      </c>
      <c r="L61">
        <f t="shared" si="9"/>
        <v>226</v>
      </c>
    </row>
    <row r="62" spans="2:12" x14ac:dyDescent="0.15">
      <c r="B62">
        <v>58</v>
      </c>
      <c r="C62">
        <f t="shared" si="0"/>
        <v>6.0737457969402664</v>
      </c>
      <c r="D62">
        <f t="shared" si="1"/>
        <v>-0.20791169081775987</v>
      </c>
      <c r="E62">
        <f t="shared" si="2"/>
        <v>0.97814760073380558</v>
      </c>
      <c r="F62">
        <f t="shared" si="3"/>
        <v>-12.022079020253777</v>
      </c>
      <c r="G62">
        <f t="shared" si="4"/>
        <v>45.617558703842889</v>
      </c>
      <c r="H62">
        <f t="shared" si="5"/>
        <v>22.808779351921444</v>
      </c>
      <c r="I62">
        <f t="shared" si="6"/>
        <v>250</v>
      </c>
      <c r="J62">
        <f t="shared" si="7"/>
        <v>-54</v>
      </c>
      <c r="K62">
        <f t="shared" si="8"/>
        <v>-13</v>
      </c>
      <c r="L62">
        <f t="shared" si="9"/>
        <v>214</v>
      </c>
    </row>
    <row r="63" spans="2:12" x14ac:dyDescent="0.15">
      <c r="B63">
        <v>59</v>
      </c>
      <c r="C63">
        <f t="shared" si="0"/>
        <v>6.1784655520599259</v>
      </c>
      <c r="D63">
        <f t="shared" si="1"/>
        <v>-0.1045284632676543</v>
      </c>
      <c r="E63">
        <f t="shared" si="2"/>
        <v>0.99452189536827329</v>
      </c>
      <c r="F63">
        <f t="shared" si="3"/>
        <v>-7.2063969841180029</v>
      </c>
      <c r="G63">
        <f t="shared" si="4"/>
        <v>22.493754120013193</v>
      </c>
      <c r="H63">
        <f t="shared" si="5"/>
        <v>11.246877060006597</v>
      </c>
      <c r="I63">
        <f t="shared" si="6"/>
        <v>254</v>
      </c>
      <c r="J63">
        <f t="shared" si="7"/>
        <v>-27</v>
      </c>
      <c r="K63">
        <f t="shared" si="8"/>
        <v>-8</v>
      </c>
      <c r="L63">
        <f t="shared" si="9"/>
        <v>203</v>
      </c>
    </row>
    <row r="64" spans="2:12" x14ac:dyDescent="0.15">
      <c r="B64">
        <v>60</v>
      </c>
      <c r="C64">
        <f t="shared" si="0"/>
        <v>6.2831853071795862</v>
      </c>
      <c r="D64">
        <f t="shared" si="1"/>
        <v>-2.45029690981724E-16</v>
      </c>
      <c r="E64">
        <f t="shared" si="2"/>
        <v>1</v>
      </c>
      <c r="F64">
        <f t="shared" si="3"/>
        <v>-1.960237527853792E-14</v>
      </c>
      <c r="G64">
        <f t="shared" si="4"/>
        <v>0</v>
      </c>
      <c r="H64">
        <f t="shared" si="5"/>
        <v>0</v>
      </c>
      <c r="I64">
        <f t="shared" si="6"/>
        <v>256</v>
      </c>
      <c r="J64">
        <f t="shared" si="7"/>
        <v>-1</v>
      </c>
      <c r="K64">
        <f t="shared" si="8"/>
        <v>-1</v>
      </c>
      <c r="L64">
        <f t="shared" si="9"/>
        <v>192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LOGO3</vt:lpstr>
      <vt:lpstr>ROTATE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Takayuki Hara</dc:creator>
  <cp:lastModifiedBy>Takayuki Hara</cp:lastModifiedBy>
  <dcterms:created xsi:type="dcterms:W3CDTF">2025-10-14T21:41:01Z</dcterms:created>
  <dcterms:modified xsi:type="dcterms:W3CDTF">2025-11-16T10:15:52Z</dcterms:modified>
</cp:coreProperties>
</file>