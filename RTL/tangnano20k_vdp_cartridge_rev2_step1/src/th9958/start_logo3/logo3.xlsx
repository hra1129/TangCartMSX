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53222"/>
  <mc:AlternateContent xmlns:mc="http://schemas.openxmlformats.org/markup-compatibility/2006">
    <mc:Choice Requires="x15">
      <x15ac:absPath xmlns:x15ac="http://schemas.microsoft.com/office/spreadsheetml/2010/11/ac" url="D:\github\HRA_product\TangCartMSX\RTL\tangnano20k_vdp_cartridge_rev2_step1\src\th9958\start_logo3\"/>
    </mc:Choice>
  </mc:AlternateContent>
  <bookViews>
    <workbookView xWindow="0" yWindow="0" windowWidth="28800" windowHeight="13635"/>
  </bookViews>
  <sheets>
    <sheet name="LOGO3" sheetId="1" r:id="rId1"/>
    <sheet name="ROTATE" sheetId="2" r:id="rId2"/>
  </sheets>
  <calcPr calcId="15251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P5" i="1" l="1"/>
  <c r="P6" i="1"/>
  <c r="P7" i="1"/>
  <c r="P8" i="1"/>
  <c r="P9" i="1"/>
  <c r="P10" i="1"/>
  <c r="P11" i="1"/>
  <c r="P12" i="1"/>
  <c r="P13" i="1"/>
  <c r="P14" i="1"/>
  <c r="P15" i="1"/>
  <c r="P16" i="1"/>
  <c r="P17" i="1"/>
  <c r="P18" i="1"/>
  <c r="P19" i="1"/>
  <c r="P20" i="1"/>
  <c r="P21" i="1"/>
  <c r="P22" i="1"/>
  <c r="P23" i="1"/>
  <c r="P24" i="1"/>
  <c r="P25" i="1"/>
  <c r="P26" i="1"/>
  <c r="P27" i="1"/>
  <c r="P28" i="1"/>
  <c r="P29" i="1"/>
  <c r="P30" i="1"/>
  <c r="P31" i="1"/>
  <c r="P32" i="1"/>
  <c r="P33" i="1"/>
  <c r="P34" i="1"/>
  <c r="P35" i="1"/>
  <c r="P36" i="1"/>
  <c r="P37" i="1"/>
  <c r="P38" i="1"/>
  <c r="P39" i="1"/>
  <c r="P40" i="1"/>
  <c r="P41" i="1"/>
  <c r="P42" i="1"/>
  <c r="P43" i="1"/>
  <c r="P44" i="1"/>
  <c r="P45" i="1"/>
  <c r="P46" i="1"/>
  <c r="P47" i="1"/>
  <c r="P48" i="1"/>
  <c r="P49" i="1"/>
  <c r="P50" i="1"/>
  <c r="P51" i="1"/>
  <c r="P52" i="1"/>
  <c r="P53" i="1"/>
  <c r="P54" i="1"/>
  <c r="P55" i="1"/>
  <c r="P56" i="1"/>
  <c r="P57" i="1"/>
  <c r="P58" i="1"/>
  <c r="P59" i="1"/>
  <c r="P60" i="1"/>
  <c r="P61" i="1"/>
  <c r="P62" i="1"/>
  <c r="P63" i="1"/>
  <c r="P64" i="1"/>
  <c r="P4" i="1"/>
  <c r="K5" i="1"/>
  <c r="K6" i="1"/>
  <c r="K7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27" i="1"/>
  <c r="K28" i="1"/>
  <c r="K29" i="1"/>
  <c r="K30" i="1"/>
  <c r="K31" i="1"/>
  <c r="K32" i="1"/>
  <c r="K33" i="1"/>
  <c r="K34" i="1"/>
  <c r="K35" i="1"/>
  <c r="K36" i="1"/>
  <c r="K37" i="1"/>
  <c r="K38" i="1"/>
  <c r="K39" i="1"/>
  <c r="K40" i="1"/>
  <c r="K41" i="1"/>
  <c r="K42" i="1"/>
  <c r="K43" i="1"/>
  <c r="K44" i="1"/>
  <c r="K45" i="1"/>
  <c r="K46" i="1"/>
  <c r="K47" i="1"/>
  <c r="K48" i="1"/>
  <c r="K49" i="1"/>
  <c r="K50" i="1"/>
  <c r="K51" i="1"/>
  <c r="K52" i="1"/>
  <c r="K53" i="1"/>
  <c r="K54" i="1"/>
  <c r="K55" i="1"/>
  <c r="K56" i="1"/>
  <c r="K57" i="1"/>
  <c r="K58" i="1"/>
  <c r="K59" i="1"/>
  <c r="K60" i="1"/>
  <c r="K61" i="1"/>
  <c r="K62" i="1"/>
  <c r="K63" i="1"/>
  <c r="K64" i="1"/>
  <c r="K4" i="1"/>
  <c r="G5" i="2"/>
  <c r="G6" i="2"/>
  <c r="G7" i="2"/>
  <c r="G8" i="2"/>
  <c r="G9" i="2"/>
  <c r="H9" i="2" s="1"/>
  <c r="L9" i="2" s="1"/>
  <c r="G10" i="2"/>
  <c r="G11" i="2"/>
  <c r="H11" i="2" s="1"/>
  <c r="L11" i="2" s="1"/>
  <c r="G12" i="2"/>
  <c r="H12" i="2" s="1"/>
  <c r="L12" i="2" s="1"/>
  <c r="G13" i="2"/>
  <c r="G14" i="2"/>
  <c r="G15" i="2"/>
  <c r="G16" i="2"/>
  <c r="G17" i="2"/>
  <c r="H17" i="2" s="1"/>
  <c r="L17" i="2" s="1"/>
  <c r="G18" i="2"/>
  <c r="H18" i="2" s="1"/>
  <c r="L18" i="2" s="1"/>
  <c r="G19" i="2"/>
  <c r="G20" i="2"/>
  <c r="H20" i="2" s="1"/>
  <c r="L20" i="2" s="1"/>
  <c r="G21" i="2"/>
  <c r="G22" i="2"/>
  <c r="G23" i="2"/>
  <c r="G24" i="2"/>
  <c r="H24" i="2" s="1"/>
  <c r="L24" i="2" s="1"/>
  <c r="G25" i="2"/>
  <c r="G26" i="2"/>
  <c r="H26" i="2" s="1"/>
  <c r="L26" i="2" s="1"/>
  <c r="G27" i="2"/>
  <c r="H27" i="2" s="1"/>
  <c r="L27" i="2" s="1"/>
  <c r="G28" i="2"/>
  <c r="H28" i="2" s="1"/>
  <c r="L28" i="2" s="1"/>
  <c r="G29" i="2"/>
  <c r="G30" i="2"/>
  <c r="G31" i="2"/>
  <c r="G32" i="2"/>
  <c r="G33" i="2"/>
  <c r="H33" i="2" s="1"/>
  <c r="L33" i="2" s="1"/>
  <c r="G34" i="2"/>
  <c r="G35" i="2"/>
  <c r="G36" i="2"/>
  <c r="H36" i="2" s="1"/>
  <c r="L36" i="2" s="1"/>
  <c r="G37" i="2"/>
  <c r="G38" i="2"/>
  <c r="G39" i="2"/>
  <c r="G40" i="2"/>
  <c r="H40" i="2" s="1"/>
  <c r="L40" i="2" s="1"/>
  <c r="G41" i="2"/>
  <c r="G42" i="2"/>
  <c r="H42" i="2" s="1"/>
  <c r="L42" i="2" s="1"/>
  <c r="G43" i="2"/>
  <c r="H43" i="2" s="1"/>
  <c r="L43" i="2" s="1"/>
  <c r="G44" i="2"/>
  <c r="H44" i="2" s="1"/>
  <c r="L44" i="2" s="1"/>
  <c r="G45" i="2"/>
  <c r="G46" i="2"/>
  <c r="G47" i="2"/>
  <c r="G48" i="2"/>
  <c r="G49" i="2"/>
  <c r="G50" i="2"/>
  <c r="H50" i="2" s="1"/>
  <c r="L50" i="2" s="1"/>
  <c r="G51" i="2"/>
  <c r="H51" i="2" s="1"/>
  <c r="L51" i="2" s="1"/>
  <c r="G52" i="2"/>
  <c r="H52" i="2" s="1"/>
  <c r="L52" i="2" s="1"/>
  <c r="G53" i="2"/>
  <c r="G54" i="2"/>
  <c r="G55" i="2"/>
  <c r="G56" i="2"/>
  <c r="G57" i="2"/>
  <c r="H57" i="2" s="1"/>
  <c r="L57" i="2" s="1"/>
  <c r="G58" i="2"/>
  <c r="G59" i="2"/>
  <c r="G60" i="2"/>
  <c r="G61" i="2"/>
  <c r="G62" i="2"/>
  <c r="G63" i="2"/>
  <c r="G64" i="2"/>
  <c r="H64" i="2" s="1"/>
  <c r="L64" i="2" s="1"/>
  <c r="G4" i="2"/>
  <c r="H4" i="2" s="1"/>
  <c r="L4" i="2" s="1"/>
  <c r="L5" i="2"/>
  <c r="L7" i="2"/>
  <c r="L14" i="2"/>
  <c r="L15" i="2"/>
  <c r="L21" i="2"/>
  <c r="L23" i="2"/>
  <c r="L29" i="2"/>
  <c r="L30" i="2"/>
  <c r="L31" i="2"/>
  <c r="L38" i="2"/>
  <c r="L39" i="2"/>
  <c r="L45" i="2"/>
  <c r="L47" i="2"/>
  <c r="L53" i="2"/>
  <c r="L54" i="2"/>
  <c r="L62" i="2"/>
  <c r="L63" i="2"/>
  <c r="F5" i="2"/>
  <c r="H5" i="2"/>
  <c r="F6" i="2"/>
  <c r="F7" i="2"/>
  <c r="H7" i="2"/>
  <c r="F8" i="2"/>
  <c r="F9" i="2"/>
  <c r="F10" i="2"/>
  <c r="F11" i="2"/>
  <c r="F12" i="2"/>
  <c r="F13" i="2"/>
  <c r="H13" i="2"/>
  <c r="L13" i="2" s="1"/>
  <c r="F14" i="2"/>
  <c r="F15" i="2"/>
  <c r="H15" i="2"/>
  <c r="F16" i="2"/>
  <c r="F17" i="2"/>
  <c r="F18" i="2"/>
  <c r="F19" i="2"/>
  <c r="F20" i="2"/>
  <c r="F21" i="2"/>
  <c r="H21" i="2"/>
  <c r="F22" i="2"/>
  <c r="F23" i="2"/>
  <c r="H23" i="2"/>
  <c r="F24" i="2"/>
  <c r="F25" i="2"/>
  <c r="H25" i="2"/>
  <c r="L25" i="2" s="1"/>
  <c r="F26" i="2"/>
  <c r="F27" i="2"/>
  <c r="F28" i="2"/>
  <c r="F29" i="2"/>
  <c r="H29" i="2"/>
  <c r="F30" i="2"/>
  <c r="F31" i="2"/>
  <c r="H31" i="2"/>
  <c r="F32" i="2"/>
  <c r="F33" i="2"/>
  <c r="F34" i="2"/>
  <c r="F35" i="2"/>
  <c r="F36" i="2"/>
  <c r="F37" i="2"/>
  <c r="H37" i="2"/>
  <c r="L37" i="2" s="1"/>
  <c r="F38" i="2"/>
  <c r="F39" i="2"/>
  <c r="H39" i="2"/>
  <c r="F40" i="2"/>
  <c r="F41" i="2"/>
  <c r="H41" i="2"/>
  <c r="L41" i="2" s="1"/>
  <c r="F42" i="2"/>
  <c r="F43" i="2"/>
  <c r="F44" i="2"/>
  <c r="F45" i="2"/>
  <c r="H45" i="2"/>
  <c r="F46" i="2"/>
  <c r="F47" i="2"/>
  <c r="H47" i="2"/>
  <c r="F48" i="2"/>
  <c r="F49" i="2"/>
  <c r="H49" i="2"/>
  <c r="L49" i="2" s="1"/>
  <c r="F50" i="2"/>
  <c r="F51" i="2"/>
  <c r="F52" i="2"/>
  <c r="F53" i="2"/>
  <c r="H53" i="2"/>
  <c r="F54" i="2"/>
  <c r="F55" i="2"/>
  <c r="H55" i="2"/>
  <c r="L55" i="2" s="1"/>
  <c r="F56" i="2"/>
  <c r="F57" i="2"/>
  <c r="F58" i="2"/>
  <c r="F59" i="2"/>
  <c r="F60" i="2"/>
  <c r="F61" i="2"/>
  <c r="H61" i="2"/>
  <c r="L61" i="2" s="1"/>
  <c r="F62" i="2"/>
  <c r="F63" i="2"/>
  <c r="H63" i="2"/>
  <c r="F64" i="2"/>
  <c r="F4" i="2"/>
  <c r="H6" i="2"/>
  <c r="L6" i="2" s="1"/>
  <c r="H8" i="2"/>
  <c r="L8" i="2" s="1"/>
  <c r="H10" i="2"/>
  <c r="L10" i="2" s="1"/>
  <c r="H14" i="2"/>
  <c r="H16" i="2"/>
  <c r="L16" i="2" s="1"/>
  <c r="H19" i="2"/>
  <c r="L19" i="2" s="1"/>
  <c r="H22" i="2"/>
  <c r="L22" i="2" s="1"/>
  <c r="H30" i="2"/>
  <c r="H32" i="2"/>
  <c r="L32" i="2" s="1"/>
  <c r="H34" i="2"/>
  <c r="L34" i="2" s="1"/>
  <c r="H35" i="2"/>
  <c r="L35" i="2" s="1"/>
  <c r="H38" i="2"/>
  <c r="H46" i="2"/>
  <c r="L46" i="2" s="1"/>
  <c r="H48" i="2"/>
  <c r="L48" i="2" s="1"/>
  <c r="H54" i="2"/>
  <c r="H56" i="2"/>
  <c r="L56" i="2" s="1"/>
  <c r="H58" i="2"/>
  <c r="L58" i="2" s="1"/>
  <c r="H59" i="2"/>
  <c r="L59" i="2" s="1"/>
  <c r="H60" i="2"/>
  <c r="L60" i="2" s="1"/>
  <c r="H62" i="2"/>
  <c r="I5" i="2" l="1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I46" i="2"/>
  <c r="I47" i="2"/>
  <c r="I48" i="2"/>
  <c r="I49" i="2"/>
  <c r="I50" i="2"/>
  <c r="I51" i="2"/>
  <c r="I52" i="2"/>
  <c r="I53" i="2"/>
  <c r="I54" i="2"/>
  <c r="I55" i="2"/>
  <c r="I56" i="2"/>
  <c r="I57" i="2"/>
  <c r="I58" i="2"/>
  <c r="I59" i="2"/>
  <c r="I60" i="2"/>
  <c r="I61" i="2"/>
  <c r="I62" i="2"/>
  <c r="I63" i="2"/>
  <c r="I64" i="2"/>
  <c r="I4" i="2"/>
  <c r="J5" i="2" l="1"/>
  <c r="K5" i="2"/>
  <c r="J6" i="2"/>
  <c r="K6" i="2"/>
  <c r="J7" i="2"/>
  <c r="K7" i="2"/>
  <c r="J8" i="2"/>
  <c r="K8" i="2"/>
  <c r="J9" i="2"/>
  <c r="K9" i="2"/>
  <c r="J10" i="2"/>
  <c r="K10" i="2"/>
  <c r="J11" i="2"/>
  <c r="K11" i="2"/>
  <c r="J12" i="2"/>
  <c r="K12" i="2"/>
  <c r="J13" i="2"/>
  <c r="K13" i="2"/>
  <c r="J14" i="2"/>
  <c r="K14" i="2"/>
  <c r="J15" i="2"/>
  <c r="K15" i="2"/>
  <c r="J16" i="2"/>
  <c r="K16" i="2"/>
  <c r="J17" i="2"/>
  <c r="K17" i="2"/>
  <c r="J18" i="2"/>
  <c r="K18" i="2"/>
  <c r="J19" i="2"/>
  <c r="K19" i="2"/>
  <c r="J20" i="2"/>
  <c r="K20" i="2"/>
  <c r="J21" i="2"/>
  <c r="K21" i="2"/>
  <c r="J22" i="2"/>
  <c r="K22" i="2"/>
  <c r="J23" i="2"/>
  <c r="K23" i="2"/>
  <c r="J24" i="2"/>
  <c r="K24" i="2"/>
  <c r="J25" i="2"/>
  <c r="K25" i="2"/>
  <c r="J26" i="2"/>
  <c r="K26" i="2"/>
  <c r="J27" i="2"/>
  <c r="K27" i="2"/>
  <c r="J28" i="2"/>
  <c r="K28" i="2"/>
  <c r="J29" i="2"/>
  <c r="K29" i="2"/>
  <c r="J30" i="2"/>
  <c r="K30" i="2"/>
  <c r="J31" i="2"/>
  <c r="K31" i="2"/>
  <c r="J32" i="2"/>
  <c r="K32" i="2"/>
  <c r="J33" i="2"/>
  <c r="K33" i="2"/>
  <c r="J34" i="2"/>
  <c r="K34" i="2"/>
  <c r="J35" i="2"/>
  <c r="K35" i="2"/>
  <c r="J36" i="2"/>
  <c r="K36" i="2"/>
  <c r="J37" i="2"/>
  <c r="K37" i="2"/>
  <c r="J38" i="2"/>
  <c r="K38" i="2"/>
  <c r="J39" i="2"/>
  <c r="K39" i="2"/>
  <c r="J40" i="2"/>
  <c r="K40" i="2"/>
  <c r="J41" i="2"/>
  <c r="K41" i="2"/>
  <c r="J42" i="2"/>
  <c r="K42" i="2"/>
  <c r="J43" i="2"/>
  <c r="K43" i="2"/>
  <c r="J44" i="2"/>
  <c r="K44" i="2"/>
  <c r="J45" i="2"/>
  <c r="K45" i="2"/>
  <c r="J46" i="2"/>
  <c r="K46" i="2"/>
  <c r="J47" i="2"/>
  <c r="K47" i="2"/>
  <c r="J48" i="2"/>
  <c r="K48" i="2"/>
  <c r="J49" i="2"/>
  <c r="K49" i="2"/>
  <c r="J50" i="2"/>
  <c r="K50" i="2"/>
  <c r="J51" i="2"/>
  <c r="K51" i="2"/>
  <c r="J52" i="2"/>
  <c r="K52" i="2"/>
  <c r="J53" i="2"/>
  <c r="K53" i="2"/>
  <c r="J54" i="2"/>
  <c r="K54" i="2"/>
  <c r="J55" i="2"/>
  <c r="K55" i="2"/>
  <c r="J56" i="2"/>
  <c r="K56" i="2"/>
  <c r="J57" i="2"/>
  <c r="K57" i="2"/>
  <c r="J58" i="2"/>
  <c r="K58" i="2"/>
  <c r="J59" i="2"/>
  <c r="K59" i="2"/>
  <c r="J60" i="2"/>
  <c r="K60" i="2"/>
  <c r="J61" i="2"/>
  <c r="K61" i="2"/>
  <c r="J62" i="2"/>
  <c r="K62" i="2"/>
  <c r="J63" i="2"/>
  <c r="K63" i="2"/>
  <c r="J64" i="2"/>
  <c r="K64" i="2"/>
  <c r="K4" i="2"/>
  <c r="J4" i="2"/>
  <c r="E16" i="2"/>
  <c r="E18" i="2"/>
  <c r="E20" i="2"/>
  <c r="E26" i="2"/>
  <c r="E27" i="2"/>
  <c r="E28" i="2"/>
  <c r="E32" i="2"/>
  <c r="E34" i="2"/>
  <c r="E40" i="2"/>
  <c r="E42" i="2"/>
  <c r="E43" i="2"/>
  <c r="E48" i="2"/>
  <c r="E52" i="2"/>
  <c r="E56" i="2"/>
  <c r="E59" i="2"/>
  <c r="C5" i="2"/>
  <c r="D5" i="2" s="1"/>
  <c r="C6" i="2"/>
  <c r="E6" i="2" s="1"/>
  <c r="C7" i="2"/>
  <c r="E7" i="2" s="1"/>
  <c r="C8" i="2"/>
  <c r="D8" i="2" s="1"/>
  <c r="C9" i="2"/>
  <c r="D9" i="2" s="1"/>
  <c r="C10" i="2"/>
  <c r="D10" i="2" s="1"/>
  <c r="C11" i="2"/>
  <c r="E11" i="2" s="1"/>
  <c r="C12" i="2"/>
  <c r="D12" i="2" s="1"/>
  <c r="C13" i="2"/>
  <c r="E13" i="2" s="1"/>
  <c r="C14" i="2"/>
  <c r="D14" i="2" s="1"/>
  <c r="C15" i="2"/>
  <c r="D15" i="2" s="1"/>
  <c r="C16" i="2"/>
  <c r="C17" i="2"/>
  <c r="D17" i="2" s="1"/>
  <c r="C18" i="2"/>
  <c r="D18" i="2" s="1"/>
  <c r="C19" i="2"/>
  <c r="E19" i="2" s="1"/>
  <c r="C20" i="2"/>
  <c r="D20" i="2" s="1"/>
  <c r="C21" i="2"/>
  <c r="E21" i="2" s="1"/>
  <c r="C22" i="2"/>
  <c r="E22" i="2" s="1"/>
  <c r="C23" i="2"/>
  <c r="D23" i="2" s="1"/>
  <c r="C24" i="2"/>
  <c r="D24" i="2" s="1"/>
  <c r="C25" i="2"/>
  <c r="E25" i="2" s="1"/>
  <c r="C26" i="2"/>
  <c r="D26" i="2" s="1"/>
  <c r="C27" i="2"/>
  <c r="C28" i="2"/>
  <c r="C29" i="2"/>
  <c r="D29" i="2" s="1"/>
  <c r="C30" i="2"/>
  <c r="D30" i="2" s="1"/>
  <c r="C31" i="2"/>
  <c r="D31" i="2" s="1"/>
  <c r="C32" i="2"/>
  <c r="D32" i="2" s="1"/>
  <c r="C33" i="2"/>
  <c r="D33" i="2" s="1"/>
  <c r="C34" i="2"/>
  <c r="D34" i="2" s="1"/>
  <c r="C35" i="2"/>
  <c r="D35" i="2" s="1"/>
  <c r="C36" i="2"/>
  <c r="D36" i="2" s="1"/>
  <c r="C37" i="2"/>
  <c r="D37" i="2" s="1"/>
  <c r="C38" i="2"/>
  <c r="D38" i="2" s="1"/>
  <c r="C39" i="2"/>
  <c r="D39" i="2" s="1"/>
  <c r="C40" i="2"/>
  <c r="C41" i="2"/>
  <c r="E41" i="2" s="1"/>
  <c r="C42" i="2"/>
  <c r="D42" i="2" s="1"/>
  <c r="C43" i="2"/>
  <c r="C44" i="2"/>
  <c r="E44" i="2" s="1"/>
  <c r="C45" i="2"/>
  <c r="D45" i="2" s="1"/>
  <c r="C46" i="2"/>
  <c r="D46" i="2" s="1"/>
  <c r="C47" i="2"/>
  <c r="D47" i="2" s="1"/>
  <c r="C48" i="2"/>
  <c r="D48" i="2" s="1"/>
  <c r="C49" i="2"/>
  <c r="D49" i="2" s="1"/>
  <c r="C50" i="2"/>
  <c r="D50" i="2" s="1"/>
  <c r="C51" i="2"/>
  <c r="E51" i="2" s="1"/>
  <c r="C52" i="2"/>
  <c r="D52" i="2" s="1"/>
  <c r="C53" i="2"/>
  <c r="E53" i="2" s="1"/>
  <c r="C54" i="2"/>
  <c r="D54" i="2" s="1"/>
  <c r="C55" i="2"/>
  <c r="D55" i="2" s="1"/>
  <c r="C56" i="2"/>
  <c r="C57" i="2"/>
  <c r="D57" i="2" s="1"/>
  <c r="C58" i="2"/>
  <c r="D58" i="2" s="1"/>
  <c r="C59" i="2"/>
  <c r="D59" i="2" s="1"/>
  <c r="C60" i="2"/>
  <c r="D60" i="2" s="1"/>
  <c r="C61" i="2"/>
  <c r="D61" i="2" s="1"/>
  <c r="C62" i="2"/>
  <c r="E62" i="2" s="1"/>
  <c r="C63" i="2"/>
  <c r="D63" i="2" s="1"/>
  <c r="C64" i="2"/>
  <c r="D64" i="2" s="1"/>
  <c r="C4" i="2"/>
  <c r="D4" i="2" s="1"/>
  <c r="D56" i="2"/>
  <c r="D51" i="2"/>
  <c r="D44" i="2"/>
  <c r="D43" i="2"/>
  <c r="D40" i="2"/>
  <c r="D28" i="2"/>
  <c r="D27" i="2"/>
  <c r="D19" i="2"/>
  <c r="D16" i="2"/>
  <c r="D13" i="2"/>
  <c r="D11" i="2"/>
  <c r="D7" i="2"/>
  <c r="D41" i="2" l="1"/>
  <c r="E4" i="2"/>
  <c r="E12" i="2"/>
  <c r="E17" i="2"/>
  <c r="D22" i="2"/>
  <c r="D25" i="2"/>
  <c r="E64" i="2"/>
  <c r="E50" i="2"/>
  <c r="E36" i="2"/>
  <c r="E60" i="2"/>
  <c r="E49" i="2"/>
  <c r="E35" i="2"/>
  <c r="E24" i="2"/>
  <c r="E10" i="2"/>
  <c r="E9" i="2"/>
  <c r="E58" i="2"/>
  <c r="E33" i="2"/>
  <c r="E8" i="2"/>
  <c r="E57" i="2"/>
  <c r="E63" i="2"/>
  <c r="E55" i="2"/>
  <c r="E47" i="2"/>
  <c r="E39" i="2"/>
  <c r="E31" i="2"/>
  <c r="E23" i="2"/>
  <c r="E15" i="2"/>
  <c r="D62" i="2"/>
  <c r="D6" i="2"/>
  <c r="D53" i="2"/>
  <c r="E54" i="2"/>
  <c r="E46" i="2"/>
  <c r="E38" i="2"/>
  <c r="E30" i="2"/>
  <c r="E14" i="2"/>
  <c r="D21" i="2"/>
  <c r="E61" i="2"/>
  <c r="E45" i="2"/>
  <c r="E37" i="2"/>
  <c r="E29" i="2"/>
  <c r="E5" i="2"/>
  <c r="N5" i="1"/>
  <c r="O5" i="1"/>
  <c r="N6" i="1"/>
  <c r="O6" i="1"/>
  <c r="N7" i="1"/>
  <c r="O7" i="1"/>
  <c r="N8" i="1"/>
  <c r="O8" i="1"/>
  <c r="N9" i="1"/>
  <c r="O9" i="1"/>
  <c r="N10" i="1"/>
  <c r="O10" i="1"/>
  <c r="N11" i="1"/>
  <c r="O11" i="1"/>
  <c r="N12" i="1"/>
  <c r="O12" i="1"/>
  <c r="N13" i="1"/>
  <c r="O13" i="1"/>
  <c r="N14" i="1"/>
  <c r="O14" i="1"/>
  <c r="N15" i="1"/>
  <c r="O15" i="1"/>
  <c r="N16" i="1"/>
  <c r="O16" i="1"/>
  <c r="N17" i="1"/>
  <c r="O17" i="1"/>
  <c r="N18" i="1"/>
  <c r="O18" i="1"/>
  <c r="N19" i="1"/>
  <c r="O19" i="1"/>
  <c r="N20" i="1"/>
  <c r="O20" i="1"/>
  <c r="N21" i="1"/>
  <c r="O21" i="1"/>
  <c r="N22" i="1"/>
  <c r="O22" i="1"/>
  <c r="N23" i="1"/>
  <c r="O23" i="1"/>
  <c r="N24" i="1"/>
  <c r="O24" i="1"/>
  <c r="N25" i="1"/>
  <c r="O25" i="1"/>
  <c r="N26" i="1"/>
  <c r="O26" i="1"/>
  <c r="N27" i="1"/>
  <c r="O27" i="1"/>
  <c r="N28" i="1"/>
  <c r="O28" i="1"/>
  <c r="N29" i="1"/>
  <c r="O29" i="1"/>
  <c r="N30" i="1"/>
  <c r="O30" i="1"/>
  <c r="N31" i="1"/>
  <c r="O31" i="1"/>
  <c r="N32" i="1"/>
  <c r="O32" i="1"/>
  <c r="N33" i="1"/>
  <c r="O33" i="1"/>
  <c r="N34" i="1"/>
  <c r="O34" i="1"/>
  <c r="N35" i="1"/>
  <c r="O35" i="1"/>
  <c r="N36" i="1"/>
  <c r="O36" i="1"/>
  <c r="N37" i="1"/>
  <c r="O37" i="1"/>
  <c r="N38" i="1"/>
  <c r="O38" i="1"/>
  <c r="N39" i="1"/>
  <c r="O39" i="1"/>
  <c r="N40" i="1"/>
  <c r="O40" i="1"/>
  <c r="N41" i="1"/>
  <c r="O41" i="1"/>
  <c r="N42" i="1"/>
  <c r="O42" i="1"/>
  <c r="N43" i="1"/>
  <c r="O43" i="1"/>
  <c r="N44" i="1"/>
  <c r="O44" i="1"/>
  <c r="N45" i="1"/>
  <c r="O45" i="1"/>
  <c r="N46" i="1"/>
  <c r="O46" i="1"/>
  <c r="N47" i="1"/>
  <c r="O47" i="1"/>
  <c r="N48" i="1"/>
  <c r="O48" i="1"/>
  <c r="N49" i="1"/>
  <c r="O49" i="1"/>
  <c r="N50" i="1"/>
  <c r="O50" i="1"/>
  <c r="N51" i="1"/>
  <c r="O51" i="1"/>
  <c r="N52" i="1"/>
  <c r="O52" i="1"/>
  <c r="N53" i="1"/>
  <c r="O53" i="1"/>
  <c r="N54" i="1"/>
  <c r="O54" i="1"/>
  <c r="N55" i="1"/>
  <c r="O55" i="1"/>
  <c r="N56" i="1"/>
  <c r="O56" i="1"/>
  <c r="N57" i="1"/>
  <c r="O57" i="1"/>
  <c r="N58" i="1"/>
  <c r="O58" i="1"/>
  <c r="N59" i="1"/>
  <c r="O59" i="1"/>
  <c r="N60" i="1"/>
  <c r="O60" i="1"/>
  <c r="N61" i="1"/>
  <c r="O61" i="1"/>
  <c r="N62" i="1"/>
  <c r="O62" i="1"/>
  <c r="N63" i="1"/>
  <c r="O63" i="1"/>
  <c r="N64" i="1"/>
  <c r="O64" i="1"/>
  <c r="O4" i="1"/>
  <c r="N4" i="1"/>
  <c r="M5" i="1"/>
  <c r="M6" i="1"/>
  <c r="M7" i="1"/>
  <c r="M8" i="1"/>
  <c r="M9" i="1"/>
  <c r="M10" i="1"/>
  <c r="M11" i="1"/>
  <c r="M12" i="1"/>
  <c r="M13" i="1"/>
  <c r="M14" i="1"/>
  <c r="M15" i="1"/>
  <c r="M16" i="1"/>
  <c r="M17" i="1"/>
  <c r="M18" i="1"/>
  <c r="M19" i="1"/>
  <c r="M20" i="1"/>
  <c r="M21" i="1"/>
  <c r="M22" i="1"/>
  <c r="M23" i="1"/>
  <c r="M24" i="1"/>
  <c r="M25" i="1"/>
  <c r="M26" i="1"/>
  <c r="M27" i="1"/>
  <c r="M28" i="1"/>
  <c r="M29" i="1"/>
  <c r="M30" i="1"/>
  <c r="M31" i="1"/>
  <c r="M32" i="1"/>
  <c r="M33" i="1"/>
  <c r="M34" i="1"/>
  <c r="M35" i="1"/>
  <c r="M36" i="1"/>
  <c r="M37" i="1"/>
  <c r="M38" i="1"/>
  <c r="M39" i="1"/>
  <c r="M40" i="1"/>
  <c r="M41" i="1"/>
  <c r="M42" i="1"/>
  <c r="M43" i="1"/>
  <c r="M44" i="1"/>
  <c r="M45" i="1"/>
  <c r="M46" i="1"/>
  <c r="M47" i="1"/>
  <c r="M48" i="1"/>
  <c r="M49" i="1"/>
  <c r="M50" i="1"/>
  <c r="M51" i="1"/>
  <c r="M52" i="1"/>
  <c r="M53" i="1"/>
  <c r="M54" i="1"/>
  <c r="M55" i="1"/>
  <c r="M56" i="1"/>
  <c r="M57" i="1"/>
  <c r="M58" i="1"/>
  <c r="M59" i="1"/>
  <c r="M60" i="1"/>
  <c r="M61" i="1"/>
  <c r="M62" i="1"/>
  <c r="M63" i="1"/>
  <c r="M64" i="1"/>
  <c r="M4" i="1"/>
  <c r="L5" i="1"/>
  <c r="L6" i="1"/>
  <c r="L7" i="1"/>
  <c r="L8" i="1"/>
  <c r="L9" i="1"/>
  <c r="L10" i="1"/>
  <c r="L11" i="1"/>
  <c r="L12" i="1"/>
  <c r="L13" i="1"/>
  <c r="L14" i="1"/>
  <c r="L15" i="1"/>
  <c r="L16" i="1"/>
  <c r="L17" i="1"/>
  <c r="L18" i="1"/>
  <c r="L19" i="1"/>
  <c r="L20" i="1"/>
  <c r="L21" i="1"/>
  <c r="L22" i="1"/>
  <c r="L23" i="1"/>
  <c r="L24" i="1"/>
  <c r="L25" i="1"/>
  <c r="L26" i="1"/>
  <c r="L27" i="1"/>
  <c r="L28" i="1"/>
  <c r="L29" i="1"/>
  <c r="L30" i="1"/>
  <c r="L31" i="1"/>
  <c r="L32" i="1"/>
  <c r="L33" i="1"/>
  <c r="L34" i="1"/>
  <c r="L35" i="1"/>
  <c r="L36" i="1"/>
  <c r="L37" i="1"/>
  <c r="L38" i="1"/>
  <c r="L39" i="1"/>
  <c r="L40" i="1"/>
  <c r="L41" i="1"/>
  <c r="L42" i="1"/>
  <c r="L43" i="1"/>
  <c r="L44" i="1"/>
  <c r="L45" i="1"/>
  <c r="L46" i="1"/>
  <c r="L47" i="1"/>
  <c r="L48" i="1"/>
  <c r="L49" i="1"/>
  <c r="L50" i="1"/>
  <c r="L51" i="1"/>
  <c r="L52" i="1"/>
  <c r="L53" i="1"/>
  <c r="L54" i="1"/>
  <c r="L55" i="1"/>
  <c r="L56" i="1"/>
  <c r="L57" i="1"/>
  <c r="L58" i="1"/>
  <c r="L59" i="1"/>
  <c r="L60" i="1"/>
  <c r="L61" i="1"/>
  <c r="L62" i="1"/>
  <c r="L63" i="1"/>
  <c r="L64" i="1"/>
  <c r="L4" i="1"/>
  <c r="J5" i="1"/>
  <c r="J6" i="1"/>
  <c r="J7" i="1"/>
  <c r="J8" i="1"/>
  <c r="J9" i="1"/>
  <c r="J10" i="1"/>
  <c r="J11" i="1"/>
  <c r="J12" i="1"/>
  <c r="J13" i="1"/>
  <c r="J14" i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0" i="1"/>
  <c r="J31" i="1"/>
  <c r="J32" i="1"/>
  <c r="J33" i="1"/>
  <c r="J34" i="1"/>
  <c r="J35" i="1"/>
  <c r="J36" i="1"/>
  <c r="J37" i="1"/>
  <c r="J38" i="1"/>
  <c r="J39" i="1"/>
  <c r="J40" i="1"/>
  <c r="J41" i="1"/>
  <c r="J42" i="1"/>
  <c r="J43" i="1"/>
  <c r="J44" i="1"/>
  <c r="J45" i="1"/>
  <c r="J46" i="1"/>
  <c r="J47" i="1"/>
  <c r="J48" i="1"/>
  <c r="J49" i="1"/>
  <c r="J50" i="1"/>
  <c r="J51" i="1"/>
  <c r="J52" i="1"/>
  <c r="J53" i="1"/>
  <c r="J54" i="1"/>
  <c r="J55" i="1"/>
  <c r="J56" i="1"/>
  <c r="J57" i="1"/>
  <c r="J58" i="1"/>
  <c r="J59" i="1"/>
  <c r="J60" i="1"/>
  <c r="J61" i="1"/>
  <c r="J62" i="1"/>
  <c r="J63" i="1"/>
  <c r="J64" i="1"/>
  <c r="J4" i="1"/>
  <c r="Q60" i="1" l="1"/>
  <c r="Q40" i="1"/>
  <c r="Q20" i="1"/>
  <c r="Q51" i="1"/>
  <c r="Q35" i="1"/>
  <c r="Q19" i="1"/>
  <c r="Q62" i="1"/>
  <c r="Q50" i="1"/>
  <c r="Q34" i="1"/>
  <c r="Q18" i="1"/>
  <c r="Q49" i="1"/>
  <c r="Q29" i="1"/>
  <c r="Q13" i="1"/>
  <c r="Q5" i="1"/>
  <c r="Q64" i="1"/>
  <c r="Q56" i="1"/>
  <c r="Q52" i="1"/>
  <c r="Q48" i="1"/>
  <c r="Q44" i="1"/>
  <c r="Q36" i="1"/>
  <c r="Q32" i="1"/>
  <c r="Q28" i="1"/>
  <c r="Q24" i="1"/>
  <c r="Q16" i="1"/>
  <c r="Q12" i="1"/>
  <c r="Q8" i="1"/>
  <c r="Q63" i="1"/>
  <c r="Q59" i="1"/>
  <c r="Q55" i="1"/>
  <c r="Q47" i="1"/>
  <c r="Q43" i="1"/>
  <c r="Q39" i="1"/>
  <c r="Q31" i="1"/>
  <c r="Q27" i="1"/>
  <c r="Q23" i="1"/>
  <c r="Q15" i="1"/>
  <c r="Q11" i="1"/>
  <c r="Q7" i="1"/>
  <c r="Q58" i="1"/>
  <c r="Q54" i="1"/>
  <c r="Q46" i="1"/>
  <c r="Q42" i="1"/>
  <c r="Q38" i="1"/>
  <c r="Q30" i="1"/>
  <c r="Q26" i="1"/>
  <c r="Q22" i="1"/>
  <c r="Q14" i="1"/>
  <c r="Q10" i="1"/>
  <c r="Q6" i="1"/>
  <c r="Q61" i="1"/>
  <c r="Q57" i="1"/>
  <c r="Q53" i="1"/>
  <c r="Q45" i="1"/>
  <c r="Q41" i="1"/>
  <c r="Q37" i="1"/>
  <c r="Q33" i="1"/>
  <c r="Q25" i="1"/>
  <c r="Q21" i="1"/>
  <c r="Q17" i="1"/>
  <c r="Q9" i="1"/>
  <c r="Q4" i="1"/>
  <c r="I5" i="1"/>
  <c r="I6" i="1"/>
  <c r="I7" i="1"/>
  <c r="I8" i="1"/>
  <c r="I9" i="1"/>
  <c r="I10" i="1"/>
  <c r="I11" i="1"/>
  <c r="I12" i="1"/>
  <c r="I1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I31" i="1"/>
  <c r="I32" i="1"/>
  <c r="I33" i="1"/>
  <c r="I34" i="1"/>
  <c r="I35" i="1"/>
  <c r="I36" i="1"/>
  <c r="I37" i="1"/>
  <c r="I38" i="1"/>
  <c r="I39" i="1"/>
  <c r="I40" i="1"/>
  <c r="I41" i="1"/>
  <c r="I42" i="1"/>
  <c r="I43" i="1"/>
  <c r="I44" i="1"/>
  <c r="I45" i="1"/>
  <c r="I46" i="1"/>
  <c r="I47" i="1"/>
  <c r="I48" i="1"/>
  <c r="I49" i="1"/>
  <c r="I50" i="1"/>
  <c r="I51" i="1"/>
  <c r="I52" i="1"/>
  <c r="I53" i="1"/>
  <c r="I54" i="1"/>
  <c r="I55" i="1"/>
  <c r="I56" i="1"/>
  <c r="I57" i="1"/>
  <c r="I58" i="1"/>
  <c r="I59" i="1"/>
  <c r="I60" i="1"/>
  <c r="I61" i="1"/>
  <c r="I62" i="1"/>
  <c r="I63" i="1"/>
  <c r="I64" i="1"/>
  <c r="I4" i="1"/>
  <c r="H5" i="1"/>
  <c r="H6" i="1"/>
  <c r="H7" i="1"/>
  <c r="H8" i="1"/>
  <c r="H9" i="1"/>
  <c r="H10" i="1"/>
  <c r="H11" i="1"/>
  <c r="H12" i="1"/>
  <c r="H13" i="1"/>
  <c r="H14" i="1"/>
  <c r="H15" i="1"/>
  <c r="H16" i="1"/>
  <c r="H17" i="1"/>
  <c r="H18" i="1"/>
  <c r="H19" i="1"/>
  <c r="H20" i="1"/>
  <c r="H21" i="1"/>
  <c r="H22" i="1"/>
  <c r="H23" i="1"/>
  <c r="H24" i="1"/>
  <c r="H25" i="1"/>
  <c r="H26" i="1"/>
  <c r="H27" i="1"/>
  <c r="H28" i="1"/>
  <c r="H29" i="1"/>
  <c r="H30" i="1"/>
  <c r="H31" i="1"/>
  <c r="H32" i="1"/>
  <c r="H33" i="1"/>
  <c r="H34" i="1"/>
  <c r="H35" i="1"/>
  <c r="H36" i="1"/>
  <c r="H37" i="1"/>
  <c r="H38" i="1"/>
  <c r="H39" i="1"/>
  <c r="H40" i="1"/>
  <c r="H41" i="1"/>
  <c r="H42" i="1"/>
  <c r="H43" i="1"/>
  <c r="H44" i="1"/>
  <c r="H45" i="1"/>
  <c r="H46" i="1"/>
  <c r="H47" i="1"/>
  <c r="H48" i="1"/>
  <c r="H49" i="1"/>
  <c r="H50" i="1"/>
  <c r="H51" i="1"/>
  <c r="H52" i="1"/>
  <c r="H53" i="1"/>
  <c r="H54" i="1"/>
  <c r="H55" i="1"/>
  <c r="H56" i="1"/>
  <c r="H57" i="1"/>
  <c r="H58" i="1"/>
  <c r="H59" i="1"/>
  <c r="H60" i="1"/>
  <c r="H61" i="1"/>
  <c r="H62" i="1"/>
  <c r="H63" i="1"/>
  <c r="H64" i="1"/>
  <c r="H4" i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6" i="1"/>
  <c r="G27" i="1"/>
  <c r="G28" i="1"/>
  <c r="G29" i="1"/>
  <c r="G30" i="1"/>
  <c r="G31" i="1"/>
  <c r="G32" i="1"/>
  <c r="G33" i="1"/>
  <c r="G34" i="1"/>
  <c r="G35" i="1"/>
  <c r="G36" i="1"/>
  <c r="G37" i="1"/>
  <c r="G38" i="1"/>
  <c r="G39" i="1"/>
  <c r="G40" i="1"/>
  <c r="G41" i="1"/>
  <c r="G42" i="1"/>
  <c r="G43" i="1"/>
  <c r="G44" i="1"/>
  <c r="G45" i="1"/>
  <c r="G46" i="1"/>
  <c r="G47" i="1"/>
  <c r="G48" i="1"/>
  <c r="G49" i="1"/>
  <c r="G50" i="1"/>
  <c r="G51" i="1"/>
  <c r="G52" i="1"/>
  <c r="G53" i="1"/>
  <c r="G54" i="1"/>
  <c r="G55" i="1"/>
  <c r="G56" i="1"/>
  <c r="G57" i="1"/>
  <c r="G58" i="1"/>
  <c r="G59" i="1"/>
  <c r="G60" i="1"/>
  <c r="G61" i="1"/>
  <c r="G62" i="1"/>
  <c r="G63" i="1"/>
  <c r="G64" i="1"/>
  <c r="G4" i="1"/>
  <c r="F5" i="1"/>
  <c r="F6" i="1"/>
  <c r="F7" i="1"/>
  <c r="F8" i="1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27" i="1"/>
  <c r="F28" i="1"/>
  <c r="F29" i="1"/>
  <c r="F30" i="1"/>
  <c r="F31" i="1"/>
  <c r="F32" i="1"/>
  <c r="F33" i="1"/>
  <c r="F34" i="1"/>
  <c r="F35" i="1"/>
  <c r="F36" i="1"/>
  <c r="F37" i="1"/>
  <c r="F38" i="1"/>
  <c r="F39" i="1"/>
  <c r="F40" i="1"/>
  <c r="F41" i="1"/>
  <c r="F42" i="1"/>
  <c r="F43" i="1"/>
  <c r="F44" i="1"/>
  <c r="F45" i="1"/>
  <c r="F46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4" i="1"/>
  <c r="E5" i="1"/>
  <c r="E6" i="1"/>
  <c r="E7" i="1"/>
  <c r="E8" i="1"/>
  <c r="E9" i="1"/>
  <c r="E10" i="1"/>
  <c r="E11" i="1"/>
  <c r="E12" i="1"/>
  <c r="E13" i="1"/>
  <c r="E14" i="1"/>
  <c r="E15" i="1"/>
  <c r="E16" i="1"/>
  <c r="E17" i="1"/>
  <c r="E18" i="1"/>
  <c r="E19" i="1"/>
  <c r="E20" i="1"/>
  <c r="E21" i="1"/>
  <c r="E22" i="1"/>
  <c r="E23" i="1"/>
  <c r="E24" i="1"/>
  <c r="E25" i="1"/>
  <c r="E26" i="1"/>
  <c r="E27" i="1"/>
  <c r="E28" i="1"/>
  <c r="E29" i="1"/>
  <c r="E30" i="1"/>
  <c r="E31" i="1"/>
  <c r="E32" i="1"/>
  <c r="E33" i="1"/>
  <c r="E34" i="1"/>
  <c r="E35" i="1"/>
  <c r="E36" i="1"/>
  <c r="E37" i="1"/>
  <c r="E38" i="1"/>
  <c r="E39" i="1"/>
  <c r="E40" i="1"/>
  <c r="E41" i="1"/>
  <c r="E42" i="1"/>
  <c r="E43" i="1"/>
  <c r="E44" i="1"/>
  <c r="E45" i="1"/>
  <c r="E46" i="1"/>
  <c r="E47" i="1"/>
  <c r="E48" i="1"/>
  <c r="E49" i="1"/>
  <c r="E50" i="1"/>
  <c r="E51" i="1"/>
  <c r="E52" i="1"/>
  <c r="E53" i="1"/>
  <c r="E54" i="1"/>
  <c r="E55" i="1"/>
  <c r="E56" i="1"/>
  <c r="E57" i="1"/>
  <c r="E58" i="1"/>
  <c r="E59" i="1"/>
  <c r="E60" i="1"/>
  <c r="E61" i="1"/>
  <c r="E62" i="1"/>
  <c r="E63" i="1"/>
  <c r="E64" i="1"/>
  <c r="E4" i="1"/>
  <c r="D5" i="1"/>
  <c r="D6" i="1"/>
  <c r="D7" i="1"/>
  <c r="D8" i="1"/>
  <c r="D9" i="1"/>
  <c r="D10" i="1"/>
  <c r="D11" i="1"/>
  <c r="D12" i="1"/>
  <c r="D13" i="1"/>
  <c r="D14" i="1"/>
  <c r="D15" i="1"/>
  <c r="D16" i="1"/>
  <c r="D17" i="1"/>
  <c r="D18" i="1"/>
  <c r="D19" i="1"/>
  <c r="D20" i="1"/>
  <c r="D21" i="1"/>
  <c r="D22" i="1"/>
  <c r="D23" i="1"/>
  <c r="D24" i="1"/>
  <c r="D25" i="1"/>
  <c r="D26" i="1"/>
  <c r="D27" i="1"/>
  <c r="D28" i="1"/>
  <c r="D29" i="1"/>
  <c r="D30" i="1"/>
  <c r="D31" i="1"/>
  <c r="D32" i="1"/>
  <c r="D33" i="1"/>
  <c r="D34" i="1"/>
  <c r="D35" i="1"/>
  <c r="D36" i="1"/>
  <c r="D37" i="1"/>
  <c r="D38" i="1"/>
  <c r="D39" i="1"/>
  <c r="D40" i="1"/>
  <c r="D41" i="1"/>
  <c r="D42" i="1"/>
  <c r="D43" i="1"/>
  <c r="D44" i="1"/>
  <c r="D45" i="1"/>
  <c r="D46" i="1"/>
  <c r="D47" i="1"/>
  <c r="D48" i="1"/>
  <c r="D49" i="1"/>
  <c r="D50" i="1"/>
  <c r="D51" i="1"/>
  <c r="D52" i="1"/>
  <c r="D53" i="1"/>
  <c r="D54" i="1"/>
  <c r="D55" i="1"/>
  <c r="D56" i="1"/>
  <c r="D57" i="1"/>
  <c r="D58" i="1"/>
  <c r="D59" i="1"/>
  <c r="D60" i="1"/>
  <c r="D61" i="1"/>
  <c r="D62" i="1"/>
  <c r="D63" i="1"/>
  <c r="D64" i="1"/>
  <c r="D4" i="1"/>
  <c r="C5" i="1"/>
  <c r="C6" i="1"/>
  <c r="C7" i="1"/>
  <c r="C8" i="1"/>
  <c r="C9" i="1"/>
  <c r="C10" i="1"/>
  <c r="C11" i="1"/>
  <c r="C12" i="1"/>
  <c r="C13" i="1"/>
  <c r="C14" i="1"/>
  <c r="C15" i="1"/>
  <c r="C16" i="1"/>
  <c r="C17" i="1"/>
  <c r="C18" i="1"/>
  <c r="C19" i="1"/>
  <c r="C20" i="1"/>
  <c r="C21" i="1"/>
  <c r="C22" i="1"/>
  <c r="C23" i="1"/>
  <c r="C24" i="1"/>
  <c r="C25" i="1"/>
  <c r="C26" i="1"/>
  <c r="C27" i="1"/>
  <c r="C28" i="1"/>
  <c r="C29" i="1"/>
  <c r="C30" i="1"/>
  <c r="C31" i="1"/>
  <c r="C32" i="1"/>
  <c r="C33" i="1"/>
  <c r="C34" i="1"/>
  <c r="C35" i="1"/>
  <c r="C36" i="1"/>
  <c r="C37" i="1"/>
  <c r="C38" i="1"/>
  <c r="C39" i="1"/>
  <c r="C40" i="1"/>
  <c r="C41" i="1"/>
  <c r="C42" i="1"/>
  <c r="C43" i="1"/>
  <c r="C44" i="1"/>
  <c r="C45" i="1"/>
  <c r="C46" i="1"/>
  <c r="C47" i="1"/>
  <c r="C48" i="1"/>
  <c r="C49" i="1"/>
  <c r="C50" i="1"/>
  <c r="C51" i="1"/>
  <c r="C52" i="1"/>
  <c r="C53" i="1"/>
  <c r="C54" i="1"/>
  <c r="C55" i="1"/>
  <c r="C56" i="1"/>
  <c r="C57" i="1"/>
  <c r="C58" i="1"/>
  <c r="C59" i="1"/>
  <c r="C60" i="1"/>
  <c r="C61" i="1"/>
  <c r="C62" i="1"/>
  <c r="C63" i="1"/>
  <c r="C64" i="1"/>
  <c r="C4" i="1"/>
</calcChain>
</file>

<file path=xl/sharedStrings.xml><?xml version="1.0" encoding="utf-8"?>
<sst xmlns="http://schemas.openxmlformats.org/spreadsheetml/2006/main" count="31" uniqueCount="21">
  <si>
    <t>Frame</t>
    <phoneticPr fontId="1"/>
  </si>
  <si>
    <t>θ</t>
    <phoneticPr fontId="1"/>
  </si>
  <si>
    <t>sinθ</t>
    <phoneticPr fontId="1"/>
  </si>
  <si>
    <t>(sinθ)*π/3</t>
    <phoneticPr fontId="1"/>
  </si>
  <si>
    <t>sin( (sinθ)*π/3 )</t>
    <phoneticPr fontId="1"/>
  </si>
  <si>
    <t>Frame+10</t>
    <phoneticPr fontId="1"/>
  </si>
  <si>
    <t>128+F*G</t>
    <phoneticPr fontId="1"/>
  </si>
  <si>
    <t>INT(H)</t>
    <phoneticPr fontId="1"/>
  </si>
  <si>
    <t>X座標（中心）</t>
    <rPh sb="1" eb="3">
      <t>ザヒョウ</t>
    </rPh>
    <rPh sb="4" eb="6">
      <t>チュウシン</t>
    </rPh>
    <phoneticPr fontId="1"/>
  </si>
  <si>
    <t>(sinθ)*π/6</t>
    <phoneticPr fontId="1"/>
  </si>
  <si>
    <t>sin( sinθ * π/6 )</t>
    <phoneticPr fontId="1"/>
  </si>
  <si>
    <t>cos( sinθ * π/6 )</t>
    <phoneticPr fontId="1"/>
  </si>
  <si>
    <t>VX</t>
    <phoneticPr fontId="1"/>
  </si>
  <si>
    <t>VY</t>
    <phoneticPr fontId="1"/>
  </si>
  <si>
    <t>変倍率</t>
    <rPh sb="0" eb="2">
      <t>ヘンバイ</t>
    </rPh>
    <rPh sb="2" eb="3">
      <t>リツ</t>
    </rPh>
    <phoneticPr fontId="1"/>
  </si>
  <si>
    <t>SX</t>
    <phoneticPr fontId="1"/>
  </si>
  <si>
    <t>SY</t>
    <phoneticPr fontId="1"/>
  </si>
  <si>
    <t>cosθ</t>
    <phoneticPr fontId="1"/>
  </si>
  <si>
    <t>422x80</t>
    <phoneticPr fontId="1"/>
  </si>
  <si>
    <t>SY*2</t>
    <phoneticPr fontId="1"/>
  </si>
  <si>
    <t>SY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</si>
</sst>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fonts count="3" x14ac:knownFonts="1">
    <font>
      <sz val="11"/>
      <color theme="1"/>
      <name val="ＭＳ Ｐゴシック"/>
      <family val="2"/>
      <charset val="128"/>
      <scheme val="minor"/>
    </font>
    <font>
      <sz val="6"/>
      <name val="ＭＳ Ｐゴシック"/>
      <family val="2"/>
      <charset val="128"/>
      <scheme val="minor"/>
    </font>
    <font>
      <b/>
      <sz val="11"/>
      <color theme="1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2">
    <xf numFmtId="0" fontId="0" fillId="0" borderId="0" xfId="0">
      <alignment vertical="center"/>
    </xf>
    <xf numFmtId="0" fontId="2" fillId="0" borderId="0" xfId="0" applyFont="1">
      <alignment vertical="center"/>
    </xf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ja-JP"/>
              <a:t>sin( (π</a:t>
            </a:r>
            <a:r>
              <a:rPr lang="ja-JP" altLang="en-US"/>
              <a:t>・</a:t>
            </a:r>
            <a:r>
              <a:rPr lang="en-US" altLang="ja-JP" baseline="0"/>
              <a:t>sinθ)/3 )</a:t>
            </a:r>
            <a:endParaRPr lang="ja-JP" altLang="en-US"/>
          </a:p>
        </c:rich>
      </c:tx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LOGO3!$F$4:$F$64</c:f>
              <c:numCache>
                <c:formatCode>General</c:formatCode>
                <c:ptCount val="61"/>
                <c:pt idx="0">
                  <c:v>0</c:v>
                </c:pt>
                <c:pt idx="1">
                  <c:v>0.16308606156716085</c:v>
                </c:pt>
                <c:pt idx="2">
                  <c:v>0.3179835066470853</c:v>
                </c:pt>
                <c:pt idx="3">
                  <c:v>0.45770990004419188</c:v>
                </c:pt>
                <c:pt idx="4">
                  <c:v>0.57738910777622632</c:v>
                </c:pt>
                <c:pt idx="5">
                  <c:v>0.67464266030907116</c:v>
                </c:pt>
                <c:pt idx="6">
                  <c:v>0.7494299171662957</c:v>
                </c:pt>
                <c:pt idx="7">
                  <c:v>0.80344546782369175</c:v>
                </c:pt>
                <c:pt idx="8">
                  <c:v>0.83927263295391474</c:v>
                </c:pt>
                <c:pt idx="9">
                  <c:v>0.85950723702374809</c:v>
                </c:pt>
                <c:pt idx="10">
                  <c:v>0.8660254037844386</c:v>
                </c:pt>
                <c:pt idx="11">
                  <c:v>0.85950723702374798</c:v>
                </c:pt>
                <c:pt idx="12">
                  <c:v>0.83927263295391474</c:v>
                </c:pt>
                <c:pt idx="13">
                  <c:v>0.80344546782369186</c:v>
                </c:pt>
                <c:pt idx="14">
                  <c:v>0.7494299171662957</c:v>
                </c:pt>
                <c:pt idx="15">
                  <c:v>0.67464266030907116</c:v>
                </c:pt>
                <c:pt idx="16">
                  <c:v>0.57738910777622643</c:v>
                </c:pt>
                <c:pt idx="17">
                  <c:v>0.45770990004419193</c:v>
                </c:pt>
                <c:pt idx="18">
                  <c:v>0.31798350664708541</c:v>
                </c:pt>
                <c:pt idx="19">
                  <c:v>0.16308606156716099</c:v>
                </c:pt>
                <c:pt idx="20">
                  <c:v>1.2829724618326021E-16</c:v>
                </c:pt>
                <c:pt idx="21">
                  <c:v>-0.16308606156716071</c:v>
                </c:pt>
                <c:pt idx="22">
                  <c:v>-0.31798350664708563</c:v>
                </c:pt>
                <c:pt idx="23">
                  <c:v>-0.45770990004419132</c:v>
                </c:pt>
                <c:pt idx="24">
                  <c:v>-0.57738910777622632</c:v>
                </c:pt>
                <c:pt idx="25">
                  <c:v>-0.67464266030907116</c:v>
                </c:pt>
                <c:pt idx="26">
                  <c:v>-0.7494299171662957</c:v>
                </c:pt>
                <c:pt idx="27">
                  <c:v>-0.80344546782369175</c:v>
                </c:pt>
                <c:pt idx="28">
                  <c:v>-0.83927263295391474</c:v>
                </c:pt>
                <c:pt idx="29">
                  <c:v>-0.85950723702374798</c:v>
                </c:pt>
                <c:pt idx="30">
                  <c:v>-0.8660254037844386</c:v>
                </c:pt>
                <c:pt idx="31">
                  <c:v>-0.85950723702374809</c:v>
                </c:pt>
                <c:pt idx="32">
                  <c:v>-0.83927263295391474</c:v>
                </c:pt>
                <c:pt idx="33">
                  <c:v>-0.80344546782369186</c:v>
                </c:pt>
                <c:pt idx="34">
                  <c:v>-0.74942991716629581</c:v>
                </c:pt>
                <c:pt idx="35">
                  <c:v>-0.67464266030907127</c:v>
                </c:pt>
                <c:pt idx="36">
                  <c:v>-0.57738910777622643</c:v>
                </c:pt>
                <c:pt idx="37">
                  <c:v>-0.45770990004419204</c:v>
                </c:pt>
                <c:pt idx="38">
                  <c:v>-0.31798350664708552</c:v>
                </c:pt>
                <c:pt idx="39">
                  <c:v>-0.16308606156716113</c:v>
                </c:pt>
                <c:pt idx="40">
                  <c:v>-2.5659449236652042E-16</c:v>
                </c:pt>
                <c:pt idx="41">
                  <c:v>0.16308606156715971</c:v>
                </c:pt>
                <c:pt idx="42">
                  <c:v>0.31798350664708513</c:v>
                </c:pt>
                <c:pt idx="43">
                  <c:v>0.45770990004419165</c:v>
                </c:pt>
                <c:pt idx="44">
                  <c:v>0.57738910777622676</c:v>
                </c:pt>
                <c:pt idx="45">
                  <c:v>0.67464266030907105</c:v>
                </c:pt>
                <c:pt idx="46">
                  <c:v>0.74942991716629537</c:v>
                </c:pt>
                <c:pt idx="47">
                  <c:v>0.80344546782369164</c:v>
                </c:pt>
                <c:pt idx="48">
                  <c:v>0.83927263295391474</c:v>
                </c:pt>
                <c:pt idx="49">
                  <c:v>0.85950723702374809</c:v>
                </c:pt>
                <c:pt idx="50">
                  <c:v>0.8660254037844386</c:v>
                </c:pt>
                <c:pt idx="51">
                  <c:v>0.85950723702374809</c:v>
                </c:pt>
                <c:pt idx="52">
                  <c:v>0.83927263295391474</c:v>
                </c:pt>
                <c:pt idx="53">
                  <c:v>0.80344546782369219</c:v>
                </c:pt>
                <c:pt idx="54">
                  <c:v>0.74942991716629592</c:v>
                </c:pt>
                <c:pt idx="55">
                  <c:v>0.67464266030907183</c:v>
                </c:pt>
                <c:pt idx="56">
                  <c:v>0.57738910777622643</c:v>
                </c:pt>
                <c:pt idx="57">
                  <c:v>0.45770990004419138</c:v>
                </c:pt>
                <c:pt idx="58">
                  <c:v>0.31798350664708569</c:v>
                </c:pt>
                <c:pt idx="59">
                  <c:v>0.16308606156716032</c:v>
                </c:pt>
                <c:pt idx="60">
                  <c:v>3.8489173854978065E-16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007912"/>
        <c:axId val="341009088"/>
      </c:lineChart>
      <c:catAx>
        <c:axId val="34100791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1009088"/>
        <c:crosses val="autoZero"/>
        <c:auto val="1"/>
        <c:lblAlgn val="ctr"/>
        <c:lblOffset val="100"/>
        <c:noMultiLvlLbl val="0"/>
      </c:catAx>
      <c:valAx>
        <c:axId val="341009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1007912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ja-JP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ja-JP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tx>
            <c:strRef>
              <c:f>LOGO3!$I$3</c:f>
              <c:strCache>
                <c:ptCount val="1"/>
                <c:pt idx="0">
                  <c:v>INT(H)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LOGO3!$I$4:$I$64</c:f>
              <c:numCache>
                <c:formatCode>General</c:formatCode>
                <c:ptCount val="61"/>
                <c:pt idx="0">
                  <c:v>128</c:v>
                </c:pt>
                <c:pt idx="1">
                  <c:v>129</c:v>
                </c:pt>
                <c:pt idx="2">
                  <c:v>131</c:v>
                </c:pt>
                <c:pt idx="3">
                  <c:v>133</c:v>
                </c:pt>
                <c:pt idx="4">
                  <c:v>136</c:v>
                </c:pt>
                <c:pt idx="5">
                  <c:v>138</c:v>
                </c:pt>
                <c:pt idx="6">
                  <c:v>139</c:v>
                </c:pt>
                <c:pt idx="7">
                  <c:v>141</c:v>
                </c:pt>
                <c:pt idx="8">
                  <c:v>143</c:v>
                </c:pt>
                <c:pt idx="9">
                  <c:v>144</c:v>
                </c:pt>
                <c:pt idx="10">
                  <c:v>145</c:v>
                </c:pt>
                <c:pt idx="11">
                  <c:v>146</c:v>
                </c:pt>
                <c:pt idx="12">
                  <c:v>146</c:v>
                </c:pt>
                <c:pt idx="13">
                  <c:v>146</c:v>
                </c:pt>
                <c:pt idx="14">
                  <c:v>145</c:v>
                </c:pt>
                <c:pt idx="15">
                  <c:v>144</c:v>
                </c:pt>
                <c:pt idx="16">
                  <c:v>143</c:v>
                </c:pt>
                <c:pt idx="17">
                  <c:v>140</c:v>
                </c:pt>
                <c:pt idx="18">
                  <c:v>136</c:v>
                </c:pt>
                <c:pt idx="19">
                  <c:v>132</c:v>
                </c:pt>
                <c:pt idx="20">
                  <c:v>128</c:v>
                </c:pt>
                <c:pt idx="21">
                  <c:v>122</c:v>
                </c:pt>
                <c:pt idx="22">
                  <c:v>117</c:v>
                </c:pt>
                <c:pt idx="23">
                  <c:v>112</c:v>
                </c:pt>
                <c:pt idx="24">
                  <c:v>108</c:v>
                </c:pt>
                <c:pt idx="25">
                  <c:v>104</c:v>
                </c:pt>
                <c:pt idx="26">
                  <c:v>101</c:v>
                </c:pt>
                <c:pt idx="27">
                  <c:v>98</c:v>
                </c:pt>
                <c:pt idx="28">
                  <c:v>96</c:v>
                </c:pt>
                <c:pt idx="29">
                  <c:v>94</c:v>
                </c:pt>
                <c:pt idx="30">
                  <c:v>93</c:v>
                </c:pt>
                <c:pt idx="31">
                  <c:v>92</c:v>
                </c:pt>
                <c:pt idx="32">
                  <c:v>92</c:v>
                </c:pt>
                <c:pt idx="33">
                  <c:v>93</c:v>
                </c:pt>
                <c:pt idx="34">
                  <c:v>95</c:v>
                </c:pt>
                <c:pt idx="35">
                  <c:v>97</c:v>
                </c:pt>
                <c:pt idx="36">
                  <c:v>101</c:v>
                </c:pt>
                <c:pt idx="37">
                  <c:v>106</c:v>
                </c:pt>
                <c:pt idx="38">
                  <c:v>112</c:v>
                </c:pt>
                <c:pt idx="39">
                  <c:v>120</c:v>
                </c:pt>
                <c:pt idx="40">
                  <c:v>128</c:v>
                </c:pt>
                <c:pt idx="41">
                  <c:v>136</c:v>
                </c:pt>
                <c:pt idx="42">
                  <c:v>144</c:v>
                </c:pt>
                <c:pt idx="43">
                  <c:v>152</c:v>
                </c:pt>
                <c:pt idx="44">
                  <c:v>159</c:v>
                </c:pt>
                <c:pt idx="45">
                  <c:v>165</c:v>
                </c:pt>
                <c:pt idx="46">
                  <c:v>169</c:v>
                </c:pt>
                <c:pt idx="47">
                  <c:v>173</c:v>
                </c:pt>
                <c:pt idx="48">
                  <c:v>176</c:v>
                </c:pt>
                <c:pt idx="49">
                  <c:v>178</c:v>
                </c:pt>
                <c:pt idx="50">
                  <c:v>179</c:v>
                </c:pt>
                <c:pt idx="51">
                  <c:v>180</c:v>
                </c:pt>
                <c:pt idx="52">
                  <c:v>180</c:v>
                </c:pt>
                <c:pt idx="53">
                  <c:v>178</c:v>
                </c:pt>
                <c:pt idx="54">
                  <c:v>175</c:v>
                </c:pt>
                <c:pt idx="55">
                  <c:v>171</c:v>
                </c:pt>
                <c:pt idx="56">
                  <c:v>166</c:v>
                </c:pt>
                <c:pt idx="57">
                  <c:v>158</c:v>
                </c:pt>
                <c:pt idx="58">
                  <c:v>149</c:v>
                </c:pt>
                <c:pt idx="59">
                  <c:v>139</c:v>
                </c:pt>
                <c:pt idx="60">
                  <c:v>128</c:v>
                </c:pt>
              </c:numCache>
            </c:numRef>
          </c:val>
          <c:smooth val="0"/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341010656"/>
        <c:axId val="341004776"/>
      </c:lineChart>
      <c:catAx>
        <c:axId val="341010656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1004776"/>
        <c:crosses val="autoZero"/>
        <c:auto val="1"/>
        <c:lblAlgn val="ctr"/>
        <c:lblOffset val="100"/>
        <c:noMultiLvlLbl val="0"/>
      </c:catAx>
      <c:valAx>
        <c:axId val="34100477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ja-JP"/>
          </a:p>
        </c:txPr>
        <c:crossAx val="341010656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ja-JP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15128</xdr:colOff>
      <xdr:row>3</xdr:row>
      <xdr:rowOff>3081</xdr:rowOff>
    </xdr:from>
    <xdr:to>
      <xdr:col>29</xdr:col>
      <xdr:colOff>393887</xdr:colOff>
      <xdr:row>31</xdr:row>
      <xdr:rowOff>131670</xdr:rowOff>
    </xdr:to>
    <xdr:graphicFrame macro="">
      <xdr:nvGraphicFramePr>
        <xdr:cNvPr id="2" name="グラフ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17</xdr:col>
      <xdr:colOff>638735</xdr:colOff>
      <xdr:row>32</xdr:row>
      <xdr:rowOff>124383</xdr:rowOff>
    </xdr:from>
    <xdr:to>
      <xdr:col>29</xdr:col>
      <xdr:colOff>358588</xdr:colOff>
      <xdr:row>62</xdr:row>
      <xdr:rowOff>134469</xdr:rowOff>
    </xdr:to>
    <xdr:graphicFrame macro="">
      <xdr:nvGraphicFramePr>
        <xdr:cNvPr id="3" name="グラフ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2:Q64"/>
  <sheetViews>
    <sheetView tabSelected="1" topLeftCell="A16" zoomScale="85" zoomScaleNormal="85" workbookViewId="0">
      <selection activeCell="M28" sqref="M28"/>
    </sheetView>
  </sheetViews>
  <sheetFormatPr defaultRowHeight="13.5" x14ac:dyDescent="0.15"/>
  <cols>
    <col min="5" max="5" width="13.625" customWidth="1"/>
    <col min="6" max="6" width="17.25" bestFit="1" customWidth="1"/>
    <col min="9" max="9" width="12.375" bestFit="1" customWidth="1"/>
    <col min="10" max="10" width="13.875" bestFit="1" customWidth="1"/>
    <col min="11" max="11" width="17.25" bestFit="1" customWidth="1"/>
    <col min="12" max="12" width="17.875" customWidth="1"/>
    <col min="13" max="13" width="12.75" bestFit="1" customWidth="1"/>
  </cols>
  <sheetData>
    <row r="2" spans="2:17" x14ac:dyDescent="0.15">
      <c r="I2" s="1" t="s">
        <v>8</v>
      </c>
    </row>
    <row r="3" spans="2:17" x14ac:dyDescent="0.15">
      <c r="B3" t="s">
        <v>0</v>
      </c>
      <c r="C3" t="s">
        <v>1</v>
      </c>
      <c r="D3" t="s">
        <v>2</v>
      </c>
      <c r="E3" t="s">
        <v>3</v>
      </c>
      <c r="F3" t="s">
        <v>4</v>
      </c>
      <c r="G3" t="s">
        <v>5</v>
      </c>
      <c r="H3" t="s">
        <v>6</v>
      </c>
      <c r="I3" t="s">
        <v>7</v>
      </c>
      <c r="J3" t="s">
        <v>9</v>
      </c>
      <c r="K3" t="s">
        <v>10</v>
      </c>
      <c r="L3" t="s">
        <v>11</v>
      </c>
      <c r="M3" t="s">
        <v>14</v>
      </c>
      <c r="N3" t="s">
        <v>12</v>
      </c>
      <c r="O3" t="s">
        <v>13</v>
      </c>
      <c r="P3" t="s">
        <v>15</v>
      </c>
      <c r="Q3" t="s">
        <v>16</v>
      </c>
    </row>
    <row r="4" spans="2:17" x14ac:dyDescent="0.15">
      <c r="B4">
        <v>0</v>
      </c>
      <c r="C4">
        <f t="shared" ref="C4:C35" si="0">B4/10*(PI()/2)</f>
        <v>0</v>
      </c>
      <c r="D4">
        <f>SIN(C4)</f>
        <v>0</v>
      </c>
      <c r="E4">
        <f>D4*PI()/3</f>
        <v>0</v>
      </c>
      <c r="F4">
        <f>SIN(E4)</f>
        <v>0</v>
      </c>
      <c r="G4">
        <f>B4+10</f>
        <v>10</v>
      </c>
      <c r="H4">
        <f>128+F4*G4</f>
        <v>128</v>
      </c>
      <c r="I4">
        <f>INT(H4)</f>
        <v>128</v>
      </c>
      <c r="J4">
        <f>D4*PI()/6</f>
        <v>0</v>
      </c>
      <c r="K4">
        <f>-SIN(J4)</f>
        <v>0</v>
      </c>
      <c r="L4">
        <f>COS(J4)</f>
        <v>1</v>
      </c>
      <c r="M4">
        <f>(10+B4)/70</f>
        <v>0.14285714285714285</v>
      </c>
      <c r="N4">
        <f>INT(L4*256/M4)</f>
        <v>1792</v>
      </c>
      <c r="O4">
        <f>INT(K4*256/M4)</f>
        <v>0</v>
      </c>
      <c r="P4">
        <f>INT((I4+112*256-N4*106-O4*80)/256)</f>
        <v>-630</v>
      </c>
      <c r="Q4">
        <f>INT(((256*80)-O4*106+N4*80)/512)</f>
        <v>320</v>
      </c>
    </row>
    <row r="5" spans="2:17" x14ac:dyDescent="0.15">
      <c r="B5">
        <v>1</v>
      </c>
      <c r="C5">
        <f t="shared" si="0"/>
        <v>0.15707963267948966</v>
      </c>
      <c r="D5">
        <f t="shared" ref="D5:D64" si="1">SIN(C5)</f>
        <v>0.15643446504023087</v>
      </c>
      <c r="E5">
        <f t="shared" ref="E5:E64" si="2">D5*PI()/3</f>
        <v>0.16381778871287953</v>
      </c>
      <c r="F5">
        <f t="shared" ref="F5:F64" si="3">SIN(E5)</f>
        <v>0.16308606156716085</v>
      </c>
      <c r="G5">
        <f t="shared" ref="G5:G64" si="4">B5+10</f>
        <v>11</v>
      </c>
      <c r="H5">
        <f t="shared" ref="H5:H64" si="5">128+F5*G5</f>
        <v>129.79394667723878</v>
      </c>
      <c r="I5">
        <f t="shared" ref="I5:I64" si="6">INT(H5)</f>
        <v>129</v>
      </c>
      <c r="J5">
        <f t="shared" ref="J5:J64" si="7">D5*PI()/6</f>
        <v>8.1908894356439763E-2</v>
      </c>
      <c r="K5">
        <f t="shared" ref="K5:K64" si="8">-SIN(J5)</f>
        <v>-8.1817336365595031E-2</v>
      </c>
      <c r="L5">
        <f t="shared" ref="L5:L64" si="9">COS(J5)</f>
        <v>0.99664734157576473</v>
      </c>
      <c r="M5">
        <f t="shared" ref="M5:M64" si="10">(10+B5)/70</f>
        <v>0.15714285714285714</v>
      </c>
      <c r="N5">
        <f t="shared" ref="N5:N64" si="11">INT(L5*256/M5)</f>
        <v>1623</v>
      </c>
      <c r="O5">
        <f t="shared" ref="O5:O64" si="12">INT(K5*256/M5)</f>
        <v>-134</v>
      </c>
      <c r="P5">
        <f t="shared" ref="P5:P64" si="13">INT((I5+112*256-N5*106-O5*80)/256)</f>
        <v>-518</v>
      </c>
      <c r="Q5">
        <f t="shared" ref="Q5:Q64" si="14">INT(((256*80)-O5*106+N5*80)/512)</f>
        <v>321</v>
      </c>
    </row>
    <row r="6" spans="2:17" x14ac:dyDescent="0.15">
      <c r="B6">
        <v>2</v>
      </c>
      <c r="C6">
        <f t="shared" si="0"/>
        <v>0.31415926535897931</v>
      </c>
      <c r="D6">
        <f t="shared" si="1"/>
        <v>0.3090169943749474</v>
      </c>
      <c r="E6">
        <f t="shared" si="2"/>
        <v>0.32360183978757773</v>
      </c>
      <c r="F6">
        <f t="shared" si="3"/>
        <v>0.3179835066470853</v>
      </c>
      <c r="G6">
        <f t="shared" si="4"/>
        <v>12</v>
      </c>
      <c r="H6">
        <f t="shared" si="5"/>
        <v>131.81580207976504</v>
      </c>
      <c r="I6">
        <f t="shared" si="6"/>
        <v>131</v>
      </c>
      <c r="J6">
        <f t="shared" si="7"/>
        <v>0.16180091989378886</v>
      </c>
      <c r="K6">
        <f t="shared" si="8"/>
        <v>-0.16109586454821878</v>
      </c>
      <c r="L6">
        <f t="shared" si="9"/>
        <v>0.98693876326014374</v>
      </c>
      <c r="M6">
        <f t="shared" si="10"/>
        <v>0.17142857142857143</v>
      </c>
      <c r="N6">
        <f t="shared" si="11"/>
        <v>1473</v>
      </c>
      <c r="O6">
        <f t="shared" si="12"/>
        <v>-241</v>
      </c>
      <c r="P6">
        <f t="shared" si="13"/>
        <v>-423</v>
      </c>
      <c r="Q6">
        <f t="shared" si="14"/>
        <v>320</v>
      </c>
    </row>
    <row r="7" spans="2:17" x14ac:dyDescent="0.15">
      <c r="B7">
        <v>3</v>
      </c>
      <c r="C7">
        <f t="shared" si="0"/>
        <v>0.47123889803846897</v>
      </c>
      <c r="D7">
        <f t="shared" si="1"/>
        <v>0.45399049973954675</v>
      </c>
      <c r="E7">
        <f t="shared" si="2"/>
        <v>0.47541773959377304</v>
      </c>
      <c r="F7">
        <f t="shared" si="3"/>
        <v>0.45770990004419188</v>
      </c>
      <c r="G7">
        <f t="shared" si="4"/>
        <v>13</v>
      </c>
      <c r="H7">
        <f t="shared" si="5"/>
        <v>133.95022870057448</v>
      </c>
      <c r="I7">
        <f t="shared" si="6"/>
        <v>133</v>
      </c>
      <c r="J7">
        <f t="shared" si="7"/>
        <v>0.23770886979688652</v>
      </c>
      <c r="K7">
        <f t="shared" si="8"/>
        <v>-0.23547654271926644</v>
      </c>
      <c r="L7">
        <f t="shared" si="9"/>
        <v>0.97188003263210498</v>
      </c>
      <c r="M7">
        <f t="shared" si="10"/>
        <v>0.18571428571428572</v>
      </c>
      <c r="N7">
        <f t="shared" si="11"/>
        <v>1339</v>
      </c>
      <c r="O7">
        <f t="shared" si="12"/>
        <v>-325</v>
      </c>
      <c r="P7">
        <f t="shared" si="13"/>
        <v>-341</v>
      </c>
      <c r="Q7">
        <f t="shared" si="14"/>
        <v>316</v>
      </c>
    </row>
    <row r="8" spans="2:17" x14ac:dyDescent="0.15">
      <c r="B8">
        <v>4</v>
      </c>
      <c r="C8">
        <f t="shared" si="0"/>
        <v>0.62831853071795862</v>
      </c>
      <c r="D8">
        <f t="shared" si="1"/>
        <v>0.58778525229247314</v>
      </c>
      <c r="E8">
        <f t="shared" si="2"/>
        <v>0.61552727683015218</v>
      </c>
      <c r="F8">
        <f t="shared" si="3"/>
        <v>0.57738910777622632</v>
      </c>
      <c r="G8">
        <f t="shared" si="4"/>
        <v>14</v>
      </c>
      <c r="H8">
        <f t="shared" si="5"/>
        <v>136.08344750886718</v>
      </c>
      <c r="I8">
        <f t="shared" si="6"/>
        <v>136</v>
      </c>
      <c r="J8">
        <f t="shared" si="7"/>
        <v>0.30776363841507609</v>
      </c>
      <c r="K8">
        <f t="shared" si="8"/>
        <v>-0.30292811316041984</v>
      </c>
      <c r="L8">
        <f t="shared" si="9"/>
        <v>0.9530134092745326</v>
      </c>
      <c r="M8">
        <f t="shared" si="10"/>
        <v>0.2</v>
      </c>
      <c r="N8">
        <f t="shared" si="11"/>
        <v>1219</v>
      </c>
      <c r="O8">
        <f t="shared" si="12"/>
        <v>-388</v>
      </c>
      <c r="P8">
        <f t="shared" si="13"/>
        <v>-271</v>
      </c>
      <c r="Q8">
        <f t="shared" si="14"/>
        <v>310</v>
      </c>
    </row>
    <row r="9" spans="2:17" x14ac:dyDescent="0.15">
      <c r="B9">
        <v>5</v>
      </c>
      <c r="C9">
        <f t="shared" si="0"/>
        <v>0.78539816339744828</v>
      </c>
      <c r="D9">
        <f t="shared" si="1"/>
        <v>0.70710678118654746</v>
      </c>
      <c r="E9">
        <f t="shared" si="2"/>
        <v>0.74048048969306102</v>
      </c>
      <c r="F9">
        <f t="shared" si="3"/>
        <v>0.67464266030907116</v>
      </c>
      <c r="G9">
        <f t="shared" si="4"/>
        <v>15</v>
      </c>
      <c r="H9">
        <f t="shared" si="5"/>
        <v>138.11963990463607</v>
      </c>
      <c r="I9">
        <f t="shared" si="6"/>
        <v>138</v>
      </c>
      <c r="J9">
        <f t="shared" si="7"/>
        <v>0.37024024484653051</v>
      </c>
      <c r="K9">
        <f t="shared" si="8"/>
        <v>-0.36183940836708373</v>
      </c>
      <c r="L9">
        <f t="shared" si="9"/>
        <v>0.93224044245707283</v>
      </c>
      <c r="M9">
        <f t="shared" si="10"/>
        <v>0.21428571428571427</v>
      </c>
      <c r="N9">
        <f t="shared" si="11"/>
        <v>1113</v>
      </c>
      <c r="O9">
        <f t="shared" si="12"/>
        <v>-433</v>
      </c>
      <c r="P9">
        <f t="shared" si="13"/>
        <v>-213</v>
      </c>
      <c r="Q9">
        <f t="shared" si="14"/>
        <v>303</v>
      </c>
    </row>
    <row r="10" spans="2:17" x14ac:dyDescent="0.15">
      <c r="B10">
        <v>6</v>
      </c>
      <c r="C10">
        <f t="shared" si="0"/>
        <v>0.94247779607693793</v>
      </c>
      <c r="D10">
        <f t="shared" si="1"/>
        <v>0.80901699437494745</v>
      </c>
      <c r="E10">
        <f t="shared" si="2"/>
        <v>0.84720061538587654</v>
      </c>
      <c r="F10">
        <f t="shared" si="3"/>
        <v>0.7494299171662957</v>
      </c>
      <c r="G10">
        <f t="shared" si="4"/>
        <v>16</v>
      </c>
      <c r="H10">
        <f t="shared" si="5"/>
        <v>139.99087867466073</v>
      </c>
      <c r="I10">
        <f t="shared" si="6"/>
        <v>139</v>
      </c>
      <c r="J10">
        <f t="shared" si="7"/>
        <v>0.42360030769293827</v>
      </c>
      <c r="K10">
        <f t="shared" si="8"/>
        <v>-0.4110452043571432</v>
      </c>
      <c r="L10">
        <f t="shared" si="9"/>
        <v>0.91161496256643049</v>
      </c>
      <c r="M10">
        <f t="shared" si="10"/>
        <v>0.22857142857142856</v>
      </c>
      <c r="N10">
        <f t="shared" si="11"/>
        <v>1021</v>
      </c>
      <c r="O10">
        <f t="shared" si="12"/>
        <v>-461</v>
      </c>
      <c r="P10">
        <f t="shared" si="13"/>
        <v>-167</v>
      </c>
      <c r="Q10">
        <f t="shared" si="14"/>
        <v>294</v>
      </c>
    </row>
    <row r="11" spans="2:17" x14ac:dyDescent="0.15">
      <c r="B11">
        <v>7</v>
      </c>
      <c r="C11">
        <f t="shared" si="0"/>
        <v>1.0995574287564276</v>
      </c>
      <c r="D11">
        <f t="shared" si="1"/>
        <v>0.89100652418836779</v>
      </c>
      <c r="E11">
        <f t="shared" si="2"/>
        <v>0.93305985023025084</v>
      </c>
      <c r="F11">
        <f t="shared" si="3"/>
        <v>0.80344546782369175</v>
      </c>
      <c r="G11">
        <f t="shared" si="4"/>
        <v>17</v>
      </c>
      <c r="H11">
        <f t="shared" si="5"/>
        <v>141.65857295300276</v>
      </c>
      <c r="I11">
        <f t="shared" si="6"/>
        <v>141</v>
      </c>
      <c r="J11">
        <f t="shared" si="7"/>
        <v>0.46652992511512542</v>
      </c>
      <c r="K11">
        <f t="shared" si="8"/>
        <v>-0.44978975616883748</v>
      </c>
      <c r="L11">
        <f t="shared" si="9"/>
        <v>0.89313446649739014</v>
      </c>
      <c r="M11">
        <f t="shared" si="10"/>
        <v>0.24285714285714285</v>
      </c>
      <c r="N11">
        <f t="shared" si="11"/>
        <v>941</v>
      </c>
      <c r="O11">
        <f t="shared" si="12"/>
        <v>-475</v>
      </c>
      <c r="P11">
        <f t="shared" si="13"/>
        <v>-129</v>
      </c>
      <c r="Q11">
        <f t="shared" si="14"/>
        <v>285</v>
      </c>
    </row>
    <row r="12" spans="2:17" x14ac:dyDescent="0.15">
      <c r="B12">
        <v>8</v>
      </c>
      <c r="C12">
        <f t="shared" si="0"/>
        <v>1.2566370614359172</v>
      </c>
      <c r="D12">
        <f t="shared" si="1"/>
        <v>0.95105651629515353</v>
      </c>
      <c r="E12">
        <f t="shared" si="2"/>
        <v>0.99594405491385185</v>
      </c>
      <c r="F12">
        <f t="shared" si="3"/>
        <v>0.83927263295391474</v>
      </c>
      <c r="G12">
        <f t="shared" si="4"/>
        <v>18</v>
      </c>
      <c r="H12">
        <f t="shared" si="5"/>
        <v>143.10690739317047</v>
      </c>
      <c r="I12">
        <f t="shared" si="6"/>
        <v>143</v>
      </c>
      <c r="J12">
        <f t="shared" si="7"/>
        <v>0.49797202745692593</v>
      </c>
      <c r="K12">
        <f t="shared" si="8"/>
        <v>-0.47764484062449608</v>
      </c>
      <c r="L12">
        <f t="shared" si="9"/>
        <v>0.87855301844840294</v>
      </c>
      <c r="M12">
        <f t="shared" si="10"/>
        <v>0.25714285714285712</v>
      </c>
      <c r="N12">
        <f t="shared" si="11"/>
        <v>874</v>
      </c>
      <c r="O12">
        <f t="shared" si="12"/>
        <v>-476</v>
      </c>
      <c r="P12">
        <f t="shared" si="13"/>
        <v>-101</v>
      </c>
      <c r="Q12">
        <f t="shared" si="14"/>
        <v>275</v>
      </c>
    </row>
    <row r="13" spans="2:17" x14ac:dyDescent="0.15">
      <c r="B13">
        <v>9</v>
      </c>
      <c r="C13">
        <f t="shared" si="0"/>
        <v>1.4137166941154069</v>
      </c>
      <c r="D13">
        <f t="shared" si="1"/>
        <v>0.98768834059513777</v>
      </c>
      <c r="E13">
        <f t="shared" si="2"/>
        <v>1.0343048116166595</v>
      </c>
      <c r="F13">
        <f t="shared" si="3"/>
        <v>0.85950723702374809</v>
      </c>
      <c r="G13">
        <f t="shared" si="4"/>
        <v>19</v>
      </c>
      <c r="H13">
        <f t="shared" si="5"/>
        <v>144.33063750345121</v>
      </c>
      <c r="I13">
        <f t="shared" si="6"/>
        <v>144</v>
      </c>
      <c r="J13">
        <f t="shared" si="7"/>
        <v>0.51715240580832977</v>
      </c>
      <c r="K13">
        <f t="shared" si="8"/>
        <v>-0.49440692978035133</v>
      </c>
      <c r="L13">
        <f t="shared" si="9"/>
        <v>0.86923057227939626</v>
      </c>
      <c r="M13">
        <f t="shared" si="10"/>
        <v>0.27142857142857141</v>
      </c>
      <c r="N13">
        <f t="shared" si="11"/>
        <v>819</v>
      </c>
      <c r="O13">
        <f t="shared" si="12"/>
        <v>-467</v>
      </c>
      <c r="P13">
        <f t="shared" si="13"/>
        <v>-81</v>
      </c>
      <c r="Q13">
        <f t="shared" si="14"/>
        <v>264</v>
      </c>
    </row>
    <row r="14" spans="2:17" x14ac:dyDescent="0.15">
      <c r="B14">
        <v>10</v>
      </c>
      <c r="C14">
        <f t="shared" si="0"/>
        <v>1.5707963267948966</v>
      </c>
      <c r="D14">
        <f t="shared" si="1"/>
        <v>1</v>
      </c>
      <c r="E14">
        <f t="shared" si="2"/>
        <v>1.0471975511965976</v>
      </c>
      <c r="F14">
        <f t="shared" si="3"/>
        <v>0.8660254037844386</v>
      </c>
      <c r="G14">
        <f t="shared" si="4"/>
        <v>20</v>
      </c>
      <c r="H14">
        <f t="shared" si="5"/>
        <v>145.32050807568876</v>
      </c>
      <c r="I14">
        <f t="shared" si="6"/>
        <v>145</v>
      </c>
      <c r="J14">
        <f t="shared" si="7"/>
        <v>0.52359877559829882</v>
      </c>
      <c r="K14">
        <f t="shared" si="8"/>
        <v>-0.49999999999999994</v>
      </c>
      <c r="L14">
        <f t="shared" si="9"/>
        <v>0.86602540378443871</v>
      </c>
      <c r="M14">
        <f t="shared" si="10"/>
        <v>0.2857142857142857</v>
      </c>
      <c r="N14">
        <f t="shared" si="11"/>
        <v>775</v>
      </c>
      <c r="O14">
        <f t="shared" si="12"/>
        <v>-448</v>
      </c>
      <c r="P14">
        <f t="shared" si="13"/>
        <v>-69</v>
      </c>
      <c r="Q14">
        <f t="shared" si="14"/>
        <v>253</v>
      </c>
    </row>
    <row r="15" spans="2:17" x14ac:dyDescent="0.15">
      <c r="B15">
        <v>11</v>
      </c>
      <c r="C15">
        <f t="shared" si="0"/>
        <v>1.7278759594743864</v>
      </c>
      <c r="D15">
        <f t="shared" si="1"/>
        <v>0.98768834059513766</v>
      </c>
      <c r="E15">
        <f t="shared" si="2"/>
        <v>1.0343048116166593</v>
      </c>
      <c r="F15">
        <f t="shared" si="3"/>
        <v>0.85950723702374798</v>
      </c>
      <c r="G15">
        <f t="shared" si="4"/>
        <v>21</v>
      </c>
      <c r="H15">
        <f t="shared" si="5"/>
        <v>146.04965197749871</v>
      </c>
      <c r="I15">
        <f t="shared" si="6"/>
        <v>146</v>
      </c>
      <c r="J15">
        <f t="shared" si="7"/>
        <v>0.51715240580832966</v>
      </c>
      <c r="K15">
        <f t="shared" si="8"/>
        <v>-0.49440692978035122</v>
      </c>
      <c r="L15">
        <f t="shared" si="9"/>
        <v>0.86923057227939637</v>
      </c>
      <c r="M15">
        <f t="shared" si="10"/>
        <v>0.3</v>
      </c>
      <c r="N15">
        <f t="shared" si="11"/>
        <v>741</v>
      </c>
      <c r="O15">
        <f t="shared" si="12"/>
        <v>-422</v>
      </c>
      <c r="P15">
        <f t="shared" si="13"/>
        <v>-63</v>
      </c>
      <c r="Q15">
        <f t="shared" si="14"/>
        <v>243</v>
      </c>
    </row>
    <row r="16" spans="2:17" x14ac:dyDescent="0.15">
      <c r="B16">
        <v>12</v>
      </c>
      <c r="C16">
        <f t="shared" si="0"/>
        <v>1.8849555921538759</v>
      </c>
      <c r="D16">
        <f t="shared" si="1"/>
        <v>0.95105651629515364</v>
      </c>
      <c r="E16">
        <f t="shared" si="2"/>
        <v>0.99594405491385196</v>
      </c>
      <c r="F16">
        <f t="shared" si="3"/>
        <v>0.83927263295391474</v>
      </c>
      <c r="G16">
        <f t="shared" si="4"/>
        <v>22</v>
      </c>
      <c r="H16">
        <f t="shared" si="5"/>
        <v>146.46399792498613</v>
      </c>
      <c r="I16">
        <f t="shared" si="6"/>
        <v>146</v>
      </c>
      <c r="J16">
        <f t="shared" si="7"/>
        <v>0.49797202745692598</v>
      </c>
      <c r="K16">
        <f t="shared" si="8"/>
        <v>-0.47764484062449608</v>
      </c>
      <c r="L16">
        <f t="shared" si="9"/>
        <v>0.87855301844840283</v>
      </c>
      <c r="M16">
        <f t="shared" si="10"/>
        <v>0.31428571428571428</v>
      </c>
      <c r="N16">
        <f t="shared" si="11"/>
        <v>715</v>
      </c>
      <c r="O16">
        <f t="shared" si="12"/>
        <v>-390</v>
      </c>
      <c r="P16">
        <f t="shared" si="13"/>
        <v>-62</v>
      </c>
      <c r="Q16">
        <f t="shared" si="14"/>
        <v>232</v>
      </c>
    </row>
    <row r="17" spans="2:17" x14ac:dyDescent="0.15">
      <c r="B17">
        <v>13</v>
      </c>
      <c r="C17">
        <f t="shared" si="0"/>
        <v>2.0420352248333655</v>
      </c>
      <c r="D17">
        <f t="shared" si="1"/>
        <v>0.8910065241883679</v>
      </c>
      <c r="E17">
        <f t="shared" si="2"/>
        <v>0.93305985023025106</v>
      </c>
      <c r="F17">
        <f t="shared" si="3"/>
        <v>0.80344546782369186</v>
      </c>
      <c r="G17">
        <f t="shared" si="4"/>
        <v>23</v>
      </c>
      <c r="H17">
        <f t="shared" si="5"/>
        <v>146.47924575994492</v>
      </c>
      <c r="I17">
        <f t="shared" si="6"/>
        <v>146</v>
      </c>
      <c r="J17">
        <f t="shared" si="7"/>
        <v>0.46652992511512553</v>
      </c>
      <c r="K17">
        <f t="shared" si="8"/>
        <v>-0.4497897561688376</v>
      </c>
      <c r="L17">
        <f t="shared" si="9"/>
        <v>0.89313446649739003</v>
      </c>
      <c r="M17">
        <f t="shared" si="10"/>
        <v>0.32857142857142857</v>
      </c>
      <c r="N17">
        <f t="shared" si="11"/>
        <v>695</v>
      </c>
      <c r="O17">
        <f t="shared" si="12"/>
        <v>-351</v>
      </c>
      <c r="P17">
        <f t="shared" si="13"/>
        <v>-66</v>
      </c>
      <c r="Q17">
        <f t="shared" si="14"/>
        <v>221</v>
      </c>
    </row>
    <row r="18" spans="2:17" x14ac:dyDescent="0.15">
      <c r="B18">
        <v>14</v>
      </c>
      <c r="C18">
        <f t="shared" si="0"/>
        <v>2.1991148575128552</v>
      </c>
      <c r="D18">
        <f t="shared" si="1"/>
        <v>0.80901699437494745</v>
      </c>
      <c r="E18">
        <f t="shared" si="2"/>
        <v>0.84720061538587654</v>
      </c>
      <c r="F18">
        <f t="shared" si="3"/>
        <v>0.7494299171662957</v>
      </c>
      <c r="G18">
        <f t="shared" si="4"/>
        <v>24</v>
      </c>
      <c r="H18">
        <f t="shared" si="5"/>
        <v>145.9863180119911</v>
      </c>
      <c r="I18">
        <f t="shared" si="6"/>
        <v>145</v>
      </c>
      <c r="J18">
        <f t="shared" si="7"/>
        <v>0.42360030769293827</v>
      </c>
      <c r="K18">
        <f t="shared" si="8"/>
        <v>-0.4110452043571432</v>
      </c>
      <c r="L18">
        <f t="shared" si="9"/>
        <v>0.91161496256643049</v>
      </c>
      <c r="M18">
        <f t="shared" si="10"/>
        <v>0.34285714285714286</v>
      </c>
      <c r="N18">
        <f t="shared" si="11"/>
        <v>680</v>
      </c>
      <c r="O18">
        <f t="shared" si="12"/>
        <v>-307</v>
      </c>
      <c r="P18">
        <f t="shared" si="13"/>
        <v>-74</v>
      </c>
      <c r="Q18">
        <f t="shared" si="14"/>
        <v>209</v>
      </c>
    </row>
    <row r="19" spans="2:17" x14ac:dyDescent="0.15">
      <c r="B19">
        <v>15</v>
      </c>
      <c r="C19">
        <f t="shared" si="0"/>
        <v>2.3561944901923448</v>
      </c>
      <c r="D19">
        <f t="shared" si="1"/>
        <v>0.70710678118654757</v>
      </c>
      <c r="E19">
        <f t="shared" si="2"/>
        <v>0.74048048969306102</v>
      </c>
      <c r="F19">
        <f t="shared" si="3"/>
        <v>0.67464266030907116</v>
      </c>
      <c r="G19">
        <f t="shared" si="4"/>
        <v>25</v>
      </c>
      <c r="H19">
        <f t="shared" si="5"/>
        <v>144.86606650772677</v>
      </c>
      <c r="I19">
        <f t="shared" si="6"/>
        <v>144</v>
      </c>
      <c r="J19">
        <f t="shared" si="7"/>
        <v>0.37024024484653051</v>
      </c>
      <c r="K19">
        <f t="shared" si="8"/>
        <v>-0.36183940836708373</v>
      </c>
      <c r="L19">
        <f t="shared" si="9"/>
        <v>0.93224044245707283</v>
      </c>
      <c r="M19">
        <f t="shared" si="10"/>
        <v>0.35714285714285715</v>
      </c>
      <c r="N19">
        <f t="shared" si="11"/>
        <v>668</v>
      </c>
      <c r="O19">
        <f t="shared" si="12"/>
        <v>-260</v>
      </c>
      <c r="P19">
        <f t="shared" si="13"/>
        <v>-83</v>
      </c>
      <c r="Q19">
        <f t="shared" si="14"/>
        <v>198</v>
      </c>
    </row>
    <row r="20" spans="2:17" x14ac:dyDescent="0.15">
      <c r="B20">
        <v>16</v>
      </c>
      <c r="C20">
        <f t="shared" si="0"/>
        <v>2.5132741228718345</v>
      </c>
      <c r="D20">
        <f t="shared" si="1"/>
        <v>0.58778525229247325</v>
      </c>
      <c r="E20">
        <f t="shared" si="2"/>
        <v>0.6155272768301524</v>
      </c>
      <c r="F20">
        <f t="shared" si="3"/>
        <v>0.57738910777622643</v>
      </c>
      <c r="G20">
        <f t="shared" si="4"/>
        <v>26</v>
      </c>
      <c r="H20">
        <f t="shared" si="5"/>
        <v>143.01211680218188</v>
      </c>
      <c r="I20">
        <f t="shared" si="6"/>
        <v>143</v>
      </c>
      <c r="J20">
        <f t="shared" si="7"/>
        <v>0.3077636384150762</v>
      </c>
      <c r="K20">
        <f t="shared" si="8"/>
        <v>-0.30292811316041995</v>
      </c>
      <c r="L20">
        <f t="shared" si="9"/>
        <v>0.9530134092745326</v>
      </c>
      <c r="M20">
        <f t="shared" si="10"/>
        <v>0.37142857142857144</v>
      </c>
      <c r="N20">
        <f t="shared" si="11"/>
        <v>656</v>
      </c>
      <c r="O20">
        <f t="shared" si="12"/>
        <v>-209</v>
      </c>
      <c r="P20">
        <f t="shared" si="13"/>
        <v>-94</v>
      </c>
      <c r="Q20">
        <f t="shared" si="14"/>
        <v>185</v>
      </c>
    </row>
    <row r="21" spans="2:17" x14ac:dyDescent="0.15">
      <c r="B21">
        <v>17</v>
      </c>
      <c r="C21">
        <f t="shared" si="0"/>
        <v>2.6703537555513241</v>
      </c>
      <c r="D21">
        <f t="shared" si="1"/>
        <v>0.45399049973954686</v>
      </c>
      <c r="E21">
        <f t="shared" si="2"/>
        <v>0.47541773959377309</v>
      </c>
      <c r="F21">
        <f t="shared" si="3"/>
        <v>0.45770990004419193</v>
      </c>
      <c r="G21">
        <f t="shared" si="4"/>
        <v>27</v>
      </c>
      <c r="H21">
        <f t="shared" si="5"/>
        <v>140.35816730119319</v>
      </c>
      <c r="I21">
        <f t="shared" si="6"/>
        <v>140</v>
      </c>
      <c r="J21">
        <f t="shared" si="7"/>
        <v>0.23770886979688655</v>
      </c>
      <c r="K21">
        <f t="shared" si="8"/>
        <v>-0.23547654271926646</v>
      </c>
      <c r="L21">
        <f t="shared" si="9"/>
        <v>0.97188003263210498</v>
      </c>
      <c r="M21">
        <f t="shared" si="10"/>
        <v>0.38571428571428573</v>
      </c>
      <c r="N21">
        <f t="shared" si="11"/>
        <v>645</v>
      </c>
      <c r="O21">
        <f t="shared" si="12"/>
        <v>-157</v>
      </c>
      <c r="P21">
        <f t="shared" si="13"/>
        <v>-106</v>
      </c>
      <c r="Q21">
        <f t="shared" si="14"/>
        <v>173</v>
      </c>
    </row>
    <row r="22" spans="2:17" x14ac:dyDescent="0.15">
      <c r="B22">
        <v>18</v>
      </c>
      <c r="C22">
        <f t="shared" si="0"/>
        <v>2.8274333882308138</v>
      </c>
      <c r="D22">
        <f t="shared" si="1"/>
        <v>0.30901699437494751</v>
      </c>
      <c r="E22">
        <f t="shared" si="2"/>
        <v>0.32360183978757784</v>
      </c>
      <c r="F22">
        <f t="shared" si="3"/>
        <v>0.31798350664708541</v>
      </c>
      <c r="G22">
        <f t="shared" si="4"/>
        <v>28</v>
      </c>
      <c r="H22">
        <f t="shared" si="5"/>
        <v>136.9035381861184</v>
      </c>
      <c r="I22">
        <f t="shared" si="6"/>
        <v>136</v>
      </c>
      <c r="J22">
        <f t="shared" si="7"/>
        <v>0.16180091989378892</v>
      </c>
      <c r="K22">
        <f t="shared" si="8"/>
        <v>-0.16109586454821884</v>
      </c>
      <c r="L22">
        <f t="shared" si="9"/>
        <v>0.98693876326014363</v>
      </c>
      <c r="M22">
        <f t="shared" si="10"/>
        <v>0.4</v>
      </c>
      <c r="N22">
        <f t="shared" si="11"/>
        <v>631</v>
      </c>
      <c r="O22">
        <f t="shared" si="12"/>
        <v>-104</v>
      </c>
      <c r="P22">
        <f t="shared" si="13"/>
        <v>-117</v>
      </c>
      <c r="Q22">
        <f t="shared" si="14"/>
        <v>160</v>
      </c>
    </row>
    <row r="23" spans="2:17" x14ac:dyDescent="0.15">
      <c r="B23">
        <v>19</v>
      </c>
      <c r="C23">
        <f t="shared" si="0"/>
        <v>2.9845130209103035</v>
      </c>
      <c r="D23">
        <f t="shared" si="1"/>
        <v>0.15643446504023098</v>
      </c>
      <c r="E23">
        <f t="shared" si="2"/>
        <v>0.16381778871287966</v>
      </c>
      <c r="F23">
        <f t="shared" si="3"/>
        <v>0.16308606156716099</v>
      </c>
      <c r="G23">
        <f t="shared" si="4"/>
        <v>29</v>
      </c>
      <c r="H23">
        <f t="shared" si="5"/>
        <v>132.72949578544768</v>
      </c>
      <c r="I23">
        <f t="shared" si="6"/>
        <v>132</v>
      </c>
      <c r="J23">
        <f t="shared" si="7"/>
        <v>8.1908894356439832E-2</v>
      </c>
      <c r="K23">
        <f t="shared" si="8"/>
        <v>-8.18173363655951E-2</v>
      </c>
      <c r="L23">
        <f t="shared" si="9"/>
        <v>0.99664734157576473</v>
      </c>
      <c r="M23">
        <f t="shared" si="10"/>
        <v>0.41428571428571431</v>
      </c>
      <c r="N23">
        <f t="shared" si="11"/>
        <v>615</v>
      </c>
      <c r="O23">
        <f t="shared" si="12"/>
        <v>-51</v>
      </c>
      <c r="P23">
        <f t="shared" si="13"/>
        <v>-127</v>
      </c>
      <c r="Q23">
        <f t="shared" si="14"/>
        <v>146</v>
      </c>
    </row>
    <row r="24" spans="2:17" x14ac:dyDescent="0.15">
      <c r="B24">
        <v>20</v>
      </c>
      <c r="C24">
        <f t="shared" si="0"/>
        <v>3.1415926535897931</v>
      </c>
      <c r="D24">
        <f t="shared" si="1"/>
        <v>1.22514845490862E-16</v>
      </c>
      <c r="E24">
        <f t="shared" si="2"/>
        <v>1.2829724618326021E-16</v>
      </c>
      <c r="F24">
        <f t="shared" si="3"/>
        <v>1.2829724618326021E-16</v>
      </c>
      <c r="G24">
        <f t="shared" si="4"/>
        <v>30</v>
      </c>
      <c r="H24">
        <f t="shared" si="5"/>
        <v>128</v>
      </c>
      <c r="I24">
        <f t="shared" si="6"/>
        <v>128</v>
      </c>
      <c r="J24">
        <f t="shared" si="7"/>
        <v>6.4148623091630105E-17</v>
      </c>
      <c r="K24">
        <f t="shared" si="8"/>
        <v>-6.4148623091630105E-17</v>
      </c>
      <c r="L24">
        <f t="shared" si="9"/>
        <v>1</v>
      </c>
      <c r="M24">
        <f t="shared" si="10"/>
        <v>0.42857142857142855</v>
      </c>
      <c r="N24">
        <f t="shared" si="11"/>
        <v>597</v>
      </c>
      <c r="O24">
        <f t="shared" si="12"/>
        <v>-1</v>
      </c>
      <c r="P24">
        <f t="shared" si="13"/>
        <v>-135</v>
      </c>
      <c r="Q24">
        <f t="shared" si="14"/>
        <v>133</v>
      </c>
    </row>
    <row r="25" spans="2:17" x14ac:dyDescent="0.15">
      <c r="B25">
        <v>21</v>
      </c>
      <c r="C25">
        <f t="shared" si="0"/>
        <v>3.2986722862692828</v>
      </c>
      <c r="D25">
        <f t="shared" si="1"/>
        <v>-0.15643446504023073</v>
      </c>
      <c r="E25">
        <f t="shared" si="2"/>
        <v>-0.16381778871287939</v>
      </c>
      <c r="F25">
        <f t="shared" si="3"/>
        <v>-0.16308606156716071</v>
      </c>
      <c r="G25">
        <f t="shared" si="4"/>
        <v>31</v>
      </c>
      <c r="H25">
        <f t="shared" si="5"/>
        <v>122.94433209141802</v>
      </c>
      <c r="I25">
        <f t="shared" si="6"/>
        <v>122</v>
      </c>
      <c r="J25">
        <f t="shared" si="7"/>
        <v>-8.1908894356439693E-2</v>
      </c>
      <c r="K25">
        <f t="shared" si="8"/>
        <v>8.1817336365594961E-2</v>
      </c>
      <c r="L25">
        <f t="shared" si="9"/>
        <v>0.99664734157576473</v>
      </c>
      <c r="M25">
        <f t="shared" si="10"/>
        <v>0.44285714285714284</v>
      </c>
      <c r="N25">
        <f t="shared" si="11"/>
        <v>576</v>
      </c>
      <c r="O25">
        <f t="shared" si="12"/>
        <v>47</v>
      </c>
      <c r="P25">
        <f t="shared" si="13"/>
        <v>-141</v>
      </c>
      <c r="Q25">
        <f t="shared" si="14"/>
        <v>120</v>
      </c>
    </row>
    <row r="26" spans="2:17" x14ac:dyDescent="0.15">
      <c r="B26">
        <v>22</v>
      </c>
      <c r="C26">
        <f t="shared" si="0"/>
        <v>3.4557519189487729</v>
      </c>
      <c r="D26">
        <f t="shared" si="1"/>
        <v>-0.30901699437494773</v>
      </c>
      <c r="E26">
        <f t="shared" si="2"/>
        <v>-0.32360183978757806</v>
      </c>
      <c r="F26">
        <f t="shared" si="3"/>
        <v>-0.31798350664708563</v>
      </c>
      <c r="G26">
        <f t="shared" si="4"/>
        <v>32</v>
      </c>
      <c r="H26">
        <f t="shared" si="5"/>
        <v>117.82452778729326</v>
      </c>
      <c r="I26">
        <f t="shared" si="6"/>
        <v>117</v>
      </c>
      <c r="J26">
        <f t="shared" si="7"/>
        <v>-0.16180091989378903</v>
      </c>
      <c r="K26">
        <f t="shared" si="8"/>
        <v>0.16109586454821895</v>
      </c>
      <c r="L26">
        <f t="shared" si="9"/>
        <v>0.98693876326014363</v>
      </c>
      <c r="M26">
        <f t="shared" si="10"/>
        <v>0.45714285714285713</v>
      </c>
      <c r="N26">
        <f t="shared" si="11"/>
        <v>552</v>
      </c>
      <c r="O26">
        <f t="shared" si="12"/>
        <v>90</v>
      </c>
      <c r="P26">
        <f t="shared" si="13"/>
        <v>-145</v>
      </c>
      <c r="Q26">
        <f t="shared" si="14"/>
        <v>107</v>
      </c>
    </row>
    <row r="27" spans="2:17" x14ac:dyDescent="0.15">
      <c r="B27">
        <v>23</v>
      </c>
      <c r="C27">
        <f t="shared" si="0"/>
        <v>3.6128315516282616</v>
      </c>
      <c r="D27">
        <f t="shared" si="1"/>
        <v>-0.45399049973954625</v>
      </c>
      <c r="E27">
        <f t="shared" si="2"/>
        <v>-0.47541773959377243</v>
      </c>
      <c r="F27">
        <f t="shared" si="3"/>
        <v>-0.45770990004419132</v>
      </c>
      <c r="G27">
        <f t="shared" si="4"/>
        <v>33</v>
      </c>
      <c r="H27">
        <f t="shared" si="5"/>
        <v>112.89557329854169</v>
      </c>
      <c r="I27">
        <f t="shared" si="6"/>
        <v>112</v>
      </c>
      <c r="J27">
        <f t="shared" si="7"/>
        <v>-0.23770886979688621</v>
      </c>
      <c r="K27">
        <f t="shared" si="8"/>
        <v>0.23547654271926613</v>
      </c>
      <c r="L27">
        <f t="shared" si="9"/>
        <v>0.9718800326321051</v>
      </c>
      <c r="M27">
        <f t="shared" si="10"/>
        <v>0.47142857142857142</v>
      </c>
      <c r="N27">
        <f t="shared" si="11"/>
        <v>527</v>
      </c>
      <c r="O27">
        <f t="shared" si="12"/>
        <v>127</v>
      </c>
      <c r="P27">
        <f t="shared" si="13"/>
        <v>-146</v>
      </c>
      <c r="Q27">
        <f t="shared" si="14"/>
        <v>96</v>
      </c>
    </row>
    <row r="28" spans="2:17" x14ac:dyDescent="0.15">
      <c r="B28">
        <v>24</v>
      </c>
      <c r="C28">
        <f t="shared" si="0"/>
        <v>3.7699111843077517</v>
      </c>
      <c r="D28">
        <f t="shared" si="1"/>
        <v>-0.58778525229247303</v>
      </c>
      <c r="E28">
        <f t="shared" si="2"/>
        <v>-0.61552727683015218</v>
      </c>
      <c r="F28">
        <f t="shared" si="3"/>
        <v>-0.57738910777622632</v>
      </c>
      <c r="G28">
        <f t="shared" si="4"/>
        <v>34</v>
      </c>
      <c r="H28">
        <f t="shared" si="5"/>
        <v>108.3687703356083</v>
      </c>
      <c r="I28">
        <f t="shared" si="6"/>
        <v>108</v>
      </c>
      <c r="J28">
        <f t="shared" si="7"/>
        <v>-0.30776363841507609</v>
      </c>
      <c r="K28">
        <f t="shared" si="8"/>
        <v>0.30292811316041984</v>
      </c>
      <c r="L28">
        <f t="shared" si="9"/>
        <v>0.9530134092745326</v>
      </c>
      <c r="M28">
        <f t="shared" si="10"/>
        <v>0.48571428571428571</v>
      </c>
      <c r="N28">
        <f t="shared" si="11"/>
        <v>502</v>
      </c>
      <c r="O28">
        <f t="shared" si="12"/>
        <v>159</v>
      </c>
      <c r="P28">
        <f t="shared" si="13"/>
        <v>-146</v>
      </c>
      <c r="Q28">
        <f t="shared" si="14"/>
        <v>85</v>
      </c>
    </row>
    <row r="29" spans="2:17" x14ac:dyDescent="0.15">
      <c r="B29">
        <v>25</v>
      </c>
      <c r="C29">
        <f t="shared" si="0"/>
        <v>3.9269908169872414</v>
      </c>
      <c r="D29">
        <f t="shared" si="1"/>
        <v>-0.70710678118654746</v>
      </c>
      <c r="E29">
        <f t="shared" si="2"/>
        <v>-0.74048048969306102</v>
      </c>
      <c r="F29">
        <f t="shared" si="3"/>
        <v>-0.67464266030907116</v>
      </c>
      <c r="G29">
        <f t="shared" si="4"/>
        <v>35</v>
      </c>
      <c r="H29">
        <f t="shared" si="5"/>
        <v>104.3875068891825</v>
      </c>
      <c r="I29">
        <f t="shared" si="6"/>
        <v>104</v>
      </c>
      <c r="J29">
        <f t="shared" si="7"/>
        <v>-0.37024024484653051</v>
      </c>
      <c r="K29">
        <f t="shared" si="8"/>
        <v>0.36183940836708373</v>
      </c>
      <c r="L29">
        <f t="shared" si="9"/>
        <v>0.93224044245707283</v>
      </c>
      <c r="M29">
        <f t="shared" si="10"/>
        <v>0.5</v>
      </c>
      <c r="N29">
        <f t="shared" si="11"/>
        <v>477</v>
      </c>
      <c r="O29">
        <f t="shared" si="12"/>
        <v>185</v>
      </c>
      <c r="P29">
        <f t="shared" si="13"/>
        <v>-143</v>
      </c>
      <c r="Q29">
        <f t="shared" si="14"/>
        <v>76</v>
      </c>
    </row>
    <row r="30" spans="2:17" x14ac:dyDescent="0.15">
      <c r="B30">
        <v>26</v>
      </c>
      <c r="C30">
        <f t="shared" si="0"/>
        <v>4.0840704496667311</v>
      </c>
      <c r="D30">
        <f t="shared" si="1"/>
        <v>-0.80901699437494734</v>
      </c>
      <c r="E30">
        <f t="shared" si="2"/>
        <v>-0.84720061538587654</v>
      </c>
      <c r="F30">
        <f t="shared" si="3"/>
        <v>-0.7494299171662957</v>
      </c>
      <c r="G30">
        <f t="shared" si="4"/>
        <v>36</v>
      </c>
      <c r="H30">
        <f t="shared" si="5"/>
        <v>101.02052298201335</v>
      </c>
      <c r="I30">
        <f t="shared" si="6"/>
        <v>101</v>
      </c>
      <c r="J30">
        <f t="shared" si="7"/>
        <v>-0.42360030769293827</v>
      </c>
      <c r="K30">
        <f t="shared" si="8"/>
        <v>0.4110452043571432</v>
      </c>
      <c r="L30">
        <f t="shared" si="9"/>
        <v>0.91161496256643049</v>
      </c>
      <c r="M30">
        <f t="shared" si="10"/>
        <v>0.51428571428571423</v>
      </c>
      <c r="N30">
        <f t="shared" si="11"/>
        <v>453</v>
      </c>
      <c r="O30">
        <f t="shared" si="12"/>
        <v>204</v>
      </c>
      <c r="P30">
        <f t="shared" si="13"/>
        <v>-139</v>
      </c>
      <c r="Q30">
        <f t="shared" si="14"/>
        <v>68</v>
      </c>
    </row>
    <row r="31" spans="2:17" x14ac:dyDescent="0.15">
      <c r="B31">
        <v>27</v>
      </c>
      <c r="C31">
        <f t="shared" si="0"/>
        <v>4.2411500823462207</v>
      </c>
      <c r="D31">
        <f t="shared" si="1"/>
        <v>-0.89100652418836779</v>
      </c>
      <c r="E31">
        <f t="shared" si="2"/>
        <v>-0.93305985023025084</v>
      </c>
      <c r="F31">
        <f t="shared" si="3"/>
        <v>-0.80344546782369175</v>
      </c>
      <c r="G31">
        <f t="shared" si="4"/>
        <v>37</v>
      </c>
      <c r="H31">
        <f t="shared" si="5"/>
        <v>98.272517690523401</v>
      </c>
      <c r="I31">
        <f t="shared" si="6"/>
        <v>98</v>
      </c>
      <c r="J31">
        <f t="shared" si="7"/>
        <v>-0.46652992511512542</v>
      </c>
      <c r="K31">
        <f t="shared" si="8"/>
        <v>0.44978975616883748</v>
      </c>
      <c r="L31">
        <f t="shared" si="9"/>
        <v>0.89313446649739014</v>
      </c>
      <c r="M31">
        <f t="shared" si="10"/>
        <v>0.52857142857142858</v>
      </c>
      <c r="N31">
        <f t="shared" si="11"/>
        <v>432</v>
      </c>
      <c r="O31">
        <f t="shared" si="12"/>
        <v>217</v>
      </c>
      <c r="P31">
        <f t="shared" si="13"/>
        <v>-135</v>
      </c>
      <c r="Q31">
        <f t="shared" si="14"/>
        <v>62</v>
      </c>
    </row>
    <row r="32" spans="2:17" x14ac:dyDescent="0.15">
      <c r="B32">
        <v>28</v>
      </c>
      <c r="C32">
        <f t="shared" si="0"/>
        <v>4.3982297150257104</v>
      </c>
      <c r="D32">
        <f t="shared" si="1"/>
        <v>-0.95105651629515353</v>
      </c>
      <c r="E32">
        <f t="shared" si="2"/>
        <v>-0.99594405491385185</v>
      </c>
      <c r="F32">
        <f t="shared" si="3"/>
        <v>-0.83927263295391474</v>
      </c>
      <c r="G32">
        <f t="shared" si="4"/>
        <v>38</v>
      </c>
      <c r="H32">
        <f t="shared" si="5"/>
        <v>96.107639947751238</v>
      </c>
      <c r="I32">
        <f t="shared" si="6"/>
        <v>96</v>
      </c>
      <c r="J32">
        <f t="shared" si="7"/>
        <v>-0.49797202745692593</v>
      </c>
      <c r="K32">
        <f t="shared" si="8"/>
        <v>0.47764484062449608</v>
      </c>
      <c r="L32">
        <f t="shared" si="9"/>
        <v>0.87855301844840294</v>
      </c>
      <c r="M32">
        <f t="shared" si="10"/>
        <v>0.54285714285714282</v>
      </c>
      <c r="N32">
        <f t="shared" si="11"/>
        <v>414</v>
      </c>
      <c r="O32">
        <f t="shared" si="12"/>
        <v>225</v>
      </c>
      <c r="P32">
        <f t="shared" si="13"/>
        <v>-130</v>
      </c>
      <c r="Q32">
        <f t="shared" si="14"/>
        <v>58</v>
      </c>
    </row>
    <row r="33" spans="2:17" x14ac:dyDescent="0.15">
      <c r="B33">
        <v>29</v>
      </c>
      <c r="C33">
        <f t="shared" si="0"/>
        <v>4.5553093477052</v>
      </c>
      <c r="D33">
        <f t="shared" si="1"/>
        <v>-0.98768834059513766</v>
      </c>
      <c r="E33">
        <f t="shared" si="2"/>
        <v>-1.0343048116166593</v>
      </c>
      <c r="F33">
        <f t="shared" si="3"/>
        <v>-0.85950723702374798</v>
      </c>
      <c r="G33">
        <f t="shared" si="4"/>
        <v>39</v>
      </c>
      <c r="H33">
        <f t="shared" si="5"/>
        <v>94.479217756073837</v>
      </c>
      <c r="I33">
        <f t="shared" si="6"/>
        <v>94</v>
      </c>
      <c r="J33">
        <f t="shared" si="7"/>
        <v>-0.51715240580832966</v>
      </c>
      <c r="K33">
        <f t="shared" si="8"/>
        <v>0.49440692978035122</v>
      </c>
      <c r="L33">
        <f t="shared" si="9"/>
        <v>0.86923057227939637</v>
      </c>
      <c r="M33">
        <f t="shared" si="10"/>
        <v>0.55714285714285716</v>
      </c>
      <c r="N33">
        <f t="shared" si="11"/>
        <v>399</v>
      </c>
      <c r="O33">
        <f t="shared" si="12"/>
        <v>227</v>
      </c>
      <c r="P33">
        <f t="shared" si="13"/>
        <v>-124</v>
      </c>
      <c r="Q33">
        <f t="shared" si="14"/>
        <v>55</v>
      </c>
    </row>
    <row r="34" spans="2:17" x14ac:dyDescent="0.15">
      <c r="B34">
        <v>30</v>
      </c>
      <c r="C34">
        <f t="shared" si="0"/>
        <v>4.7123889803846897</v>
      </c>
      <c r="D34">
        <f t="shared" si="1"/>
        <v>-1</v>
      </c>
      <c r="E34">
        <f t="shared" si="2"/>
        <v>-1.0471975511965976</v>
      </c>
      <c r="F34">
        <f t="shared" si="3"/>
        <v>-0.8660254037844386</v>
      </c>
      <c r="G34">
        <f t="shared" si="4"/>
        <v>40</v>
      </c>
      <c r="H34">
        <f t="shared" si="5"/>
        <v>93.358983848622458</v>
      </c>
      <c r="I34">
        <f t="shared" si="6"/>
        <v>93</v>
      </c>
      <c r="J34">
        <f t="shared" si="7"/>
        <v>-0.52359877559829882</v>
      </c>
      <c r="K34">
        <f t="shared" si="8"/>
        <v>0.49999999999999994</v>
      </c>
      <c r="L34">
        <f t="shared" si="9"/>
        <v>0.86602540378443871</v>
      </c>
      <c r="M34">
        <f t="shared" si="10"/>
        <v>0.5714285714285714</v>
      </c>
      <c r="N34">
        <f t="shared" si="11"/>
        <v>387</v>
      </c>
      <c r="O34">
        <f t="shared" si="12"/>
        <v>224</v>
      </c>
      <c r="P34">
        <f t="shared" si="13"/>
        <v>-118</v>
      </c>
      <c r="Q34">
        <f t="shared" si="14"/>
        <v>54</v>
      </c>
    </row>
    <row r="35" spans="2:17" x14ac:dyDescent="0.15">
      <c r="B35">
        <v>31</v>
      </c>
      <c r="C35">
        <f t="shared" si="0"/>
        <v>4.8694686130641793</v>
      </c>
      <c r="D35">
        <f t="shared" si="1"/>
        <v>-0.98768834059513777</v>
      </c>
      <c r="E35">
        <f t="shared" si="2"/>
        <v>-1.0343048116166595</v>
      </c>
      <c r="F35">
        <f t="shared" si="3"/>
        <v>-0.85950723702374809</v>
      </c>
      <c r="G35">
        <f t="shared" si="4"/>
        <v>41</v>
      </c>
      <c r="H35">
        <f t="shared" si="5"/>
        <v>92.760203282026325</v>
      </c>
      <c r="I35">
        <f t="shared" si="6"/>
        <v>92</v>
      </c>
      <c r="J35">
        <f t="shared" si="7"/>
        <v>-0.51715240580832977</v>
      </c>
      <c r="K35">
        <f t="shared" si="8"/>
        <v>0.49440692978035133</v>
      </c>
      <c r="L35">
        <f t="shared" si="9"/>
        <v>0.86923057227939626</v>
      </c>
      <c r="M35">
        <f t="shared" si="10"/>
        <v>0.58571428571428574</v>
      </c>
      <c r="N35">
        <f t="shared" si="11"/>
        <v>379</v>
      </c>
      <c r="O35">
        <f t="shared" si="12"/>
        <v>216</v>
      </c>
      <c r="P35">
        <f t="shared" si="13"/>
        <v>-113</v>
      </c>
      <c r="Q35">
        <f t="shared" si="14"/>
        <v>54</v>
      </c>
    </row>
    <row r="36" spans="2:17" x14ac:dyDescent="0.15">
      <c r="B36">
        <v>32</v>
      </c>
      <c r="C36">
        <f t="shared" ref="C36:C64" si="15">B36/10*(PI()/2)</f>
        <v>5.026548245743669</v>
      </c>
      <c r="D36">
        <f t="shared" si="1"/>
        <v>-0.95105651629515364</v>
      </c>
      <c r="E36">
        <f t="shared" si="2"/>
        <v>-0.99594405491385196</v>
      </c>
      <c r="F36">
        <f t="shared" si="3"/>
        <v>-0.83927263295391474</v>
      </c>
      <c r="G36">
        <f t="shared" si="4"/>
        <v>42</v>
      </c>
      <c r="H36">
        <f t="shared" si="5"/>
        <v>92.750549415935581</v>
      </c>
      <c r="I36">
        <f t="shared" si="6"/>
        <v>92</v>
      </c>
      <c r="J36">
        <f t="shared" si="7"/>
        <v>-0.49797202745692598</v>
      </c>
      <c r="K36">
        <f t="shared" si="8"/>
        <v>0.47764484062449608</v>
      </c>
      <c r="L36">
        <f t="shared" si="9"/>
        <v>0.87855301844840283</v>
      </c>
      <c r="M36">
        <f t="shared" si="10"/>
        <v>0.6</v>
      </c>
      <c r="N36">
        <f t="shared" si="11"/>
        <v>374</v>
      </c>
      <c r="O36">
        <f t="shared" si="12"/>
        <v>203</v>
      </c>
      <c r="P36">
        <f t="shared" si="13"/>
        <v>-106</v>
      </c>
      <c r="Q36">
        <f t="shared" si="14"/>
        <v>56</v>
      </c>
    </row>
    <row r="37" spans="2:17" x14ac:dyDescent="0.15">
      <c r="B37">
        <v>33</v>
      </c>
      <c r="C37">
        <f t="shared" si="15"/>
        <v>5.1836278784231586</v>
      </c>
      <c r="D37">
        <f t="shared" si="1"/>
        <v>-0.8910065241883679</v>
      </c>
      <c r="E37">
        <f t="shared" si="2"/>
        <v>-0.93305985023025106</v>
      </c>
      <c r="F37">
        <f t="shared" si="3"/>
        <v>-0.80344546782369186</v>
      </c>
      <c r="G37">
        <f t="shared" si="4"/>
        <v>43</v>
      </c>
      <c r="H37">
        <f t="shared" si="5"/>
        <v>93.451844883581259</v>
      </c>
      <c r="I37">
        <f t="shared" si="6"/>
        <v>93</v>
      </c>
      <c r="J37">
        <f t="shared" si="7"/>
        <v>-0.46652992511512553</v>
      </c>
      <c r="K37">
        <f t="shared" si="8"/>
        <v>0.4497897561688376</v>
      </c>
      <c r="L37">
        <f t="shared" si="9"/>
        <v>0.89313446649739003</v>
      </c>
      <c r="M37">
        <f t="shared" si="10"/>
        <v>0.61428571428571432</v>
      </c>
      <c r="N37">
        <f t="shared" si="11"/>
        <v>372</v>
      </c>
      <c r="O37">
        <f t="shared" si="12"/>
        <v>187</v>
      </c>
      <c r="P37">
        <f t="shared" si="13"/>
        <v>-101</v>
      </c>
      <c r="Q37">
        <f t="shared" si="14"/>
        <v>59</v>
      </c>
    </row>
    <row r="38" spans="2:17" x14ac:dyDescent="0.15">
      <c r="B38">
        <v>34</v>
      </c>
      <c r="C38">
        <f t="shared" si="15"/>
        <v>5.3407075111026483</v>
      </c>
      <c r="D38">
        <f t="shared" si="1"/>
        <v>-0.80901699437494756</v>
      </c>
      <c r="E38">
        <f t="shared" si="2"/>
        <v>-0.84720061538587677</v>
      </c>
      <c r="F38">
        <f t="shared" si="3"/>
        <v>-0.74942991716629581</v>
      </c>
      <c r="G38">
        <f t="shared" si="4"/>
        <v>44</v>
      </c>
      <c r="H38">
        <f t="shared" si="5"/>
        <v>95.025083644682979</v>
      </c>
      <c r="I38">
        <f t="shared" si="6"/>
        <v>95</v>
      </c>
      <c r="J38">
        <f t="shared" si="7"/>
        <v>-0.42360030769293838</v>
      </c>
      <c r="K38">
        <f t="shared" si="8"/>
        <v>0.41104520435714331</v>
      </c>
      <c r="L38">
        <f t="shared" si="9"/>
        <v>0.91161496256643038</v>
      </c>
      <c r="M38">
        <f t="shared" si="10"/>
        <v>0.62857142857142856</v>
      </c>
      <c r="N38">
        <f t="shared" si="11"/>
        <v>371</v>
      </c>
      <c r="O38">
        <f t="shared" si="12"/>
        <v>167</v>
      </c>
      <c r="P38">
        <f t="shared" si="13"/>
        <v>-94</v>
      </c>
      <c r="Q38">
        <f t="shared" si="14"/>
        <v>63</v>
      </c>
    </row>
    <row r="39" spans="2:17" x14ac:dyDescent="0.15">
      <c r="B39">
        <v>35</v>
      </c>
      <c r="C39">
        <f t="shared" si="15"/>
        <v>5.497787143782138</v>
      </c>
      <c r="D39">
        <f t="shared" si="1"/>
        <v>-0.70710678118654768</v>
      </c>
      <c r="E39">
        <f t="shared" si="2"/>
        <v>-0.74048048969306113</v>
      </c>
      <c r="F39">
        <f t="shared" si="3"/>
        <v>-0.67464266030907127</v>
      </c>
      <c r="G39">
        <f t="shared" si="4"/>
        <v>45</v>
      </c>
      <c r="H39">
        <f t="shared" si="5"/>
        <v>97.641080286091793</v>
      </c>
      <c r="I39">
        <f t="shared" si="6"/>
        <v>97</v>
      </c>
      <c r="J39">
        <f t="shared" si="7"/>
        <v>-0.37024024484653056</v>
      </c>
      <c r="K39">
        <f t="shared" si="8"/>
        <v>0.36183940836708378</v>
      </c>
      <c r="L39">
        <f t="shared" si="9"/>
        <v>0.93224044245707272</v>
      </c>
      <c r="M39">
        <f t="shared" si="10"/>
        <v>0.6428571428571429</v>
      </c>
      <c r="N39">
        <f t="shared" si="11"/>
        <v>371</v>
      </c>
      <c r="O39">
        <f t="shared" si="12"/>
        <v>144</v>
      </c>
      <c r="P39">
        <f t="shared" si="13"/>
        <v>-87</v>
      </c>
      <c r="Q39">
        <f t="shared" si="14"/>
        <v>68</v>
      </c>
    </row>
    <row r="40" spans="2:17" x14ac:dyDescent="0.15">
      <c r="B40">
        <v>36</v>
      </c>
      <c r="C40">
        <f t="shared" si="15"/>
        <v>5.6548667764616276</v>
      </c>
      <c r="D40">
        <f t="shared" si="1"/>
        <v>-0.58778525229247336</v>
      </c>
      <c r="E40">
        <f t="shared" si="2"/>
        <v>-0.6155272768301524</v>
      </c>
      <c r="F40">
        <f t="shared" si="3"/>
        <v>-0.57738910777622643</v>
      </c>
      <c r="G40">
        <f t="shared" si="4"/>
        <v>46</v>
      </c>
      <c r="H40">
        <f t="shared" si="5"/>
        <v>101.44010104229358</v>
      </c>
      <c r="I40">
        <f t="shared" si="6"/>
        <v>101</v>
      </c>
      <c r="J40">
        <f t="shared" si="7"/>
        <v>-0.3077636384150762</v>
      </c>
      <c r="K40">
        <f t="shared" si="8"/>
        <v>0.30292811316041995</v>
      </c>
      <c r="L40">
        <f t="shared" si="9"/>
        <v>0.9530134092745326</v>
      </c>
      <c r="M40">
        <f t="shared" si="10"/>
        <v>0.65714285714285714</v>
      </c>
      <c r="N40">
        <f t="shared" si="11"/>
        <v>371</v>
      </c>
      <c r="O40">
        <f t="shared" si="12"/>
        <v>118</v>
      </c>
      <c r="P40">
        <f t="shared" si="13"/>
        <v>-79</v>
      </c>
      <c r="Q40">
        <f t="shared" si="14"/>
        <v>73</v>
      </c>
    </row>
    <row r="41" spans="2:17" x14ac:dyDescent="0.15">
      <c r="B41">
        <v>37</v>
      </c>
      <c r="C41">
        <f t="shared" si="15"/>
        <v>5.8119464091411173</v>
      </c>
      <c r="D41">
        <f t="shared" si="1"/>
        <v>-0.45399049973954697</v>
      </c>
      <c r="E41">
        <f t="shared" si="2"/>
        <v>-0.47541773959377326</v>
      </c>
      <c r="F41">
        <f t="shared" si="3"/>
        <v>-0.45770990004419204</v>
      </c>
      <c r="G41">
        <f t="shared" si="4"/>
        <v>47</v>
      </c>
      <c r="H41">
        <f t="shared" si="5"/>
        <v>106.48763469792297</v>
      </c>
      <c r="I41">
        <f t="shared" si="6"/>
        <v>106</v>
      </c>
      <c r="J41">
        <f t="shared" si="7"/>
        <v>-0.23770886979688663</v>
      </c>
      <c r="K41">
        <f t="shared" si="8"/>
        <v>0.23547654271926655</v>
      </c>
      <c r="L41">
        <f t="shared" si="9"/>
        <v>0.97188003263210498</v>
      </c>
      <c r="M41">
        <f t="shared" si="10"/>
        <v>0.67142857142857137</v>
      </c>
      <c r="N41">
        <f t="shared" si="11"/>
        <v>370</v>
      </c>
      <c r="O41">
        <f t="shared" si="12"/>
        <v>89</v>
      </c>
      <c r="P41">
        <f t="shared" si="13"/>
        <v>-69</v>
      </c>
      <c r="Q41">
        <f t="shared" si="14"/>
        <v>79</v>
      </c>
    </row>
    <row r="42" spans="2:17" x14ac:dyDescent="0.15">
      <c r="B42">
        <v>38</v>
      </c>
      <c r="C42">
        <f t="shared" si="15"/>
        <v>5.9690260418206069</v>
      </c>
      <c r="D42">
        <f t="shared" si="1"/>
        <v>-0.30901699437494762</v>
      </c>
      <c r="E42">
        <f t="shared" si="2"/>
        <v>-0.32360183978757795</v>
      </c>
      <c r="F42">
        <f t="shared" si="3"/>
        <v>-0.31798350664708552</v>
      </c>
      <c r="G42">
        <f t="shared" si="4"/>
        <v>48</v>
      </c>
      <c r="H42">
        <f t="shared" si="5"/>
        <v>112.73679168093989</v>
      </c>
      <c r="I42">
        <f t="shared" si="6"/>
        <v>112</v>
      </c>
      <c r="J42">
        <f t="shared" si="7"/>
        <v>-0.16180091989378897</v>
      </c>
      <c r="K42">
        <f t="shared" si="8"/>
        <v>0.16109586454821889</v>
      </c>
      <c r="L42">
        <f t="shared" si="9"/>
        <v>0.98693876326014363</v>
      </c>
      <c r="M42">
        <f t="shared" si="10"/>
        <v>0.68571428571428572</v>
      </c>
      <c r="N42">
        <f t="shared" si="11"/>
        <v>368</v>
      </c>
      <c r="O42">
        <f t="shared" si="12"/>
        <v>60</v>
      </c>
      <c r="P42">
        <f t="shared" si="13"/>
        <v>-59</v>
      </c>
      <c r="Q42">
        <f t="shared" si="14"/>
        <v>85</v>
      </c>
    </row>
    <row r="43" spans="2:17" x14ac:dyDescent="0.15">
      <c r="B43">
        <v>39</v>
      </c>
      <c r="C43">
        <f t="shared" si="15"/>
        <v>6.1261056745000966</v>
      </c>
      <c r="D43">
        <f t="shared" si="1"/>
        <v>-0.15643446504023112</v>
      </c>
      <c r="E43">
        <f t="shared" si="2"/>
        <v>-0.1638177887128798</v>
      </c>
      <c r="F43">
        <f t="shared" si="3"/>
        <v>-0.16308606156716113</v>
      </c>
      <c r="G43">
        <f t="shared" si="4"/>
        <v>49</v>
      </c>
      <c r="H43">
        <f t="shared" si="5"/>
        <v>120.0087829832091</v>
      </c>
      <c r="I43">
        <f t="shared" si="6"/>
        <v>120</v>
      </c>
      <c r="J43">
        <f t="shared" si="7"/>
        <v>-8.1908894356439901E-2</v>
      </c>
      <c r="K43">
        <f t="shared" si="8"/>
        <v>8.181733636559517E-2</v>
      </c>
      <c r="L43">
        <f t="shared" si="9"/>
        <v>0.99664734157576473</v>
      </c>
      <c r="M43">
        <f t="shared" si="10"/>
        <v>0.7</v>
      </c>
      <c r="N43">
        <f t="shared" si="11"/>
        <v>364</v>
      </c>
      <c r="O43">
        <f t="shared" si="12"/>
        <v>29</v>
      </c>
      <c r="P43">
        <f t="shared" si="13"/>
        <v>-48</v>
      </c>
      <c r="Q43">
        <f t="shared" si="14"/>
        <v>90</v>
      </c>
    </row>
    <row r="44" spans="2:17" x14ac:dyDescent="0.15">
      <c r="B44">
        <v>40</v>
      </c>
      <c r="C44">
        <f t="shared" si="15"/>
        <v>6.2831853071795862</v>
      </c>
      <c r="D44">
        <f t="shared" si="1"/>
        <v>-2.45029690981724E-16</v>
      </c>
      <c r="E44">
        <f t="shared" si="2"/>
        <v>-2.5659449236652042E-16</v>
      </c>
      <c r="F44">
        <f t="shared" si="3"/>
        <v>-2.5659449236652042E-16</v>
      </c>
      <c r="G44">
        <f t="shared" si="4"/>
        <v>50</v>
      </c>
      <c r="H44">
        <f t="shared" si="5"/>
        <v>127.99999999999999</v>
      </c>
      <c r="I44">
        <f t="shared" si="6"/>
        <v>128</v>
      </c>
      <c r="J44">
        <f t="shared" si="7"/>
        <v>-1.2829724618326021E-16</v>
      </c>
      <c r="K44">
        <f t="shared" si="8"/>
        <v>1.2829724618326021E-16</v>
      </c>
      <c r="L44">
        <f t="shared" si="9"/>
        <v>1</v>
      </c>
      <c r="M44">
        <f t="shared" si="10"/>
        <v>0.7142857142857143</v>
      </c>
      <c r="N44">
        <f t="shared" si="11"/>
        <v>358</v>
      </c>
      <c r="O44">
        <f t="shared" si="12"/>
        <v>0</v>
      </c>
      <c r="P44">
        <f t="shared" si="13"/>
        <v>-36</v>
      </c>
      <c r="Q44">
        <f t="shared" si="14"/>
        <v>95</v>
      </c>
    </row>
    <row r="45" spans="2:17" x14ac:dyDescent="0.15">
      <c r="B45">
        <v>41</v>
      </c>
      <c r="C45">
        <f t="shared" si="15"/>
        <v>6.440264939859075</v>
      </c>
      <c r="D45">
        <f t="shared" si="1"/>
        <v>0.15643446504022973</v>
      </c>
      <c r="E45">
        <f t="shared" si="2"/>
        <v>0.16381778871287836</v>
      </c>
      <c r="F45">
        <f t="shared" si="3"/>
        <v>0.16308606156715971</v>
      </c>
      <c r="G45">
        <f t="shared" si="4"/>
        <v>51</v>
      </c>
      <c r="H45">
        <f t="shared" si="5"/>
        <v>136.31738913992515</v>
      </c>
      <c r="I45">
        <f t="shared" si="6"/>
        <v>136</v>
      </c>
      <c r="J45">
        <f t="shared" si="7"/>
        <v>8.190889435643918E-2</v>
      </c>
      <c r="K45">
        <f t="shared" si="8"/>
        <v>-8.1817336365594448E-2</v>
      </c>
      <c r="L45">
        <f t="shared" si="9"/>
        <v>0.99664734157576484</v>
      </c>
      <c r="M45">
        <f t="shared" si="10"/>
        <v>0.72857142857142854</v>
      </c>
      <c r="N45">
        <f t="shared" si="11"/>
        <v>350</v>
      </c>
      <c r="O45">
        <f t="shared" si="12"/>
        <v>-29</v>
      </c>
      <c r="P45">
        <f t="shared" si="13"/>
        <v>-24</v>
      </c>
      <c r="Q45">
        <f t="shared" si="14"/>
        <v>100</v>
      </c>
    </row>
    <row r="46" spans="2:17" x14ac:dyDescent="0.15">
      <c r="B46">
        <v>42</v>
      </c>
      <c r="C46">
        <f t="shared" si="15"/>
        <v>6.5973445725385655</v>
      </c>
      <c r="D46">
        <f t="shared" si="1"/>
        <v>0.30901699437494717</v>
      </c>
      <c r="E46">
        <f t="shared" si="2"/>
        <v>0.32360183978757751</v>
      </c>
      <c r="F46">
        <f t="shared" si="3"/>
        <v>0.31798350664708513</v>
      </c>
      <c r="G46">
        <f t="shared" si="4"/>
        <v>52</v>
      </c>
      <c r="H46">
        <f t="shared" si="5"/>
        <v>144.53514234564844</v>
      </c>
      <c r="I46">
        <f t="shared" si="6"/>
        <v>144</v>
      </c>
      <c r="J46">
        <f t="shared" si="7"/>
        <v>0.16180091989378875</v>
      </c>
      <c r="K46">
        <f t="shared" si="8"/>
        <v>-0.16109586454821867</v>
      </c>
      <c r="L46">
        <f t="shared" si="9"/>
        <v>0.98693876326014374</v>
      </c>
      <c r="M46">
        <f t="shared" si="10"/>
        <v>0.74285714285714288</v>
      </c>
      <c r="N46">
        <f t="shared" si="11"/>
        <v>340</v>
      </c>
      <c r="O46">
        <f t="shared" si="12"/>
        <v>-56</v>
      </c>
      <c r="P46">
        <f t="shared" si="13"/>
        <v>-11</v>
      </c>
      <c r="Q46">
        <f t="shared" si="14"/>
        <v>104</v>
      </c>
    </row>
    <row r="47" spans="2:17" x14ac:dyDescent="0.15">
      <c r="B47">
        <v>43</v>
      </c>
      <c r="C47">
        <f t="shared" si="15"/>
        <v>6.7544242052180552</v>
      </c>
      <c r="D47">
        <f t="shared" si="1"/>
        <v>0.45399049973954658</v>
      </c>
      <c r="E47">
        <f t="shared" si="2"/>
        <v>0.47541773959377281</v>
      </c>
      <c r="F47">
        <f t="shared" si="3"/>
        <v>0.45770990004419165</v>
      </c>
      <c r="G47">
        <f t="shared" si="4"/>
        <v>53</v>
      </c>
      <c r="H47">
        <f t="shared" si="5"/>
        <v>152.25862470234216</v>
      </c>
      <c r="I47">
        <f t="shared" si="6"/>
        <v>152</v>
      </c>
      <c r="J47">
        <f t="shared" si="7"/>
        <v>0.23770886979688641</v>
      </c>
      <c r="K47">
        <f t="shared" si="8"/>
        <v>-0.23547654271926632</v>
      </c>
      <c r="L47">
        <f t="shared" si="9"/>
        <v>0.97188003263210498</v>
      </c>
      <c r="M47">
        <f t="shared" si="10"/>
        <v>0.75714285714285712</v>
      </c>
      <c r="N47">
        <f t="shared" si="11"/>
        <v>328</v>
      </c>
      <c r="O47">
        <f t="shared" si="12"/>
        <v>-80</v>
      </c>
      <c r="P47">
        <f t="shared" si="13"/>
        <v>1</v>
      </c>
      <c r="Q47">
        <f t="shared" si="14"/>
        <v>107</v>
      </c>
    </row>
    <row r="48" spans="2:17" x14ac:dyDescent="0.15">
      <c r="B48">
        <v>44</v>
      </c>
      <c r="C48">
        <f t="shared" si="15"/>
        <v>6.9115038378975457</v>
      </c>
      <c r="D48">
        <f t="shared" si="1"/>
        <v>0.58778525229247358</v>
      </c>
      <c r="E48">
        <f t="shared" si="2"/>
        <v>0.61552727683015274</v>
      </c>
      <c r="F48">
        <f t="shared" si="3"/>
        <v>0.57738910777622676</v>
      </c>
      <c r="G48">
        <f t="shared" si="4"/>
        <v>54</v>
      </c>
      <c r="H48">
        <f t="shared" si="5"/>
        <v>159.17901181991624</v>
      </c>
      <c r="I48">
        <f t="shared" si="6"/>
        <v>159</v>
      </c>
      <c r="J48">
        <f t="shared" si="7"/>
        <v>0.30776363841507637</v>
      </c>
      <c r="K48">
        <f t="shared" si="8"/>
        <v>-0.30292811316042012</v>
      </c>
      <c r="L48">
        <f t="shared" si="9"/>
        <v>0.9530134092745326</v>
      </c>
      <c r="M48">
        <f t="shared" si="10"/>
        <v>0.77142857142857146</v>
      </c>
      <c r="N48">
        <f t="shared" si="11"/>
        <v>316</v>
      </c>
      <c r="O48">
        <f t="shared" si="12"/>
        <v>-101</v>
      </c>
      <c r="P48">
        <f t="shared" si="13"/>
        <v>13</v>
      </c>
      <c r="Q48">
        <f t="shared" si="14"/>
        <v>110</v>
      </c>
    </row>
    <row r="49" spans="2:17" x14ac:dyDescent="0.15">
      <c r="B49">
        <v>45</v>
      </c>
      <c r="C49">
        <f t="shared" si="15"/>
        <v>7.0685834705770345</v>
      </c>
      <c r="D49">
        <f t="shared" si="1"/>
        <v>0.70710678118654735</v>
      </c>
      <c r="E49">
        <f t="shared" si="2"/>
        <v>0.74048048969306091</v>
      </c>
      <c r="F49">
        <f t="shared" si="3"/>
        <v>0.67464266030907105</v>
      </c>
      <c r="G49">
        <f t="shared" si="4"/>
        <v>55</v>
      </c>
      <c r="H49">
        <f t="shared" si="5"/>
        <v>165.10534631699892</v>
      </c>
      <c r="I49">
        <f t="shared" si="6"/>
        <v>165</v>
      </c>
      <c r="J49">
        <f t="shared" si="7"/>
        <v>0.37024024484653045</v>
      </c>
      <c r="K49">
        <f t="shared" si="8"/>
        <v>-0.36183940836708367</v>
      </c>
      <c r="L49">
        <f t="shared" si="9"/>
        <v>0.93224044245707283</v>
      </c>
      <c r="M49">
        <f t="shared" si="10"/>
        <v>0.7857142857142857</v>
      </c>
      <c r="N49">
        <f t="shared" si="11"/>
        <v>303</v>
      </c>
      <c r="O49">
        <f t="shared" si="12"/>
        <v>-118</v>
      </c>
      <c r="P49">
        <f t="shared" si="13"/>
        <v>24</v>
      </c>
      <c r="Q49">
        <f t="shared" si="14"/>
        <v>111</v>
      </c>
    </row>
    <row r="50" spans="2:17" x14ac:dyDescent="0.15">
      <c r="B50">
        <v>46</v>
      </c>
      <c r="C50">
        <f t="shared" si="15"/>
        <v>7.2256631032565233</v>
      </c>
      <c r="D50">
        <f t="shared" si="1"/>
        <v>0.80901699437494679</v>
      </c>
      <c r="E50">
        <f t="shared" si="2"/>
        <v>0.84720061538587599</v>
      </c>
      <c r="F50">
        <f t="shared" si="3"/>
        <v>0.74942991716629537</v>
      </c>
      <c r="G50">
        <f t="shared" si="4"/>
        <v>56</v>
      </c>
      <c r="H50">
        <f t="shared" si="5"/>
        <v>169.96807536131254</v>
      </c>
      <c r="I50">
        <f t="shared" si="6"/>
        <v>169</v>
      </c>
      <c r="J50">
        <f t="shared" si="7"/>
        <v>0.42360030769293799</v>
      </c>
      <c r="K50">
        <f t="shared" si="8"/>
        <v>-0.41104520435714292</v>
      </c>
      <c r="L50">
        <f t="shared" si="9"/>
        <v>0.9116149625664306</v>
      </c>
      <c r="M50">
        <f t="shared" si="10"/>
        <v>0.8</v>
      </c>
      <c r="N50">
        <f t="shared" si="11"/>
        <v>291</v>
      </c>
      <c r="O50">
        <f t="shared" si="12"/>
        <v>-132</v>
      </c>
      <c r="P50">
        <f t="shared" si="13"/>
        <v>33</v>
      </c>
      <c r="Q50">
        <f t="shared" si="14"/>
        <v>112</v>
      </c>
    </row>
    <row r="51" spans="2:17" x14ac:dyDescent="0.15">
      <c r="B51">
        <v>47</v>
      </c>
      <c r="C51">
        <f t="shared" si="15"/>
        <v>7.3827427359360138</v>
      </c>
      <c r="D51">
        <f t="shared" si="1"/>
        <v>0.89100652418836768</v>
      </c>
      <c r="E51">
        <f t="shared" si="2"/>
        <v>0.93305985023025073</v>
      </c>
      <c r="F51">
        <f t="shared" si="3"/>
        <v>0.80344546782369164</v>
      </c>
      <c r="G51">
        <f t="shared" si="4"/>
        <v>57</v>
      </c>
      <c r="H51">
        <f t="shared" si="5"/>
        <v>173.79639166595041</v>
      </c>
      <c r="I51">
        <f t="shared" si="6"/>
        <v>173</v>
      </c>
      <c r="J51">
        <f t="shared" si="7"/>
        <v>0.46652992511512537</v>
      </c>
      <c r="K51">
        <f t="shared" si="8"/>
        <v>-0.44978975616883743</v>
      </c>
      <c r="L51">
        <f t="shared" si="9"/>
        <v>0.89313446649739014</v>
      </c>
      <c r="M51">
        <f t="shared" si="10"/>
        <v>0.81428571428571428</v>
      </c>
      <c r="N51">
        <f t="shared" si="11"/>
        <v>280</v>
      </c>
      <c r="O51">
        <f t="shared" si="12"/>
        <v>-142</v>
      </c>
      <c r="P51">
        <f t="shared" si="13"/>
        <v>41</v>
      </c>
      <c r="Q51">
        <f t="shared" si="14"/>
        <v>113</v>
      </c>
    </row>
    <row r="52" spans="2:17" x14ac:dyDescent="0.15">
      <c r="B52">
        <v>48</v>
      </c>
      <c r="C52">
        <f t="shared" si="15"/>
        <v>7.5398223686155035</v>
      </c>
      <c r="D52">
        <f t="shared" si="1"/>
        <v>0.95105651629515353</v>
      </c>
      <c r="E52">
        <f t="shared" si="2"/>
        <v>0.99594405491385185</v>
      </c>
      <c r="F52">
        <f t="shared" si="3"/>
        <v>0.83927263295391474</v>
      </c>
      <c r="G52">
        <f t="shared" si="4"/>
        <v>58</v>
      </c>
      <c r="H52">
        <f t="shared" si="5"/>
        <v>176.67781271132705</v>
      </c>
      <c r="I52">
        <f t="shared" si="6"/>
        <v>176</v>
      </c>
      <c r="J52">
        <f t="shared" si="7"/>
        <v>0.49797202745692593</v>
      </c>
      <c r="K52">
        <f t="shared" si="8"/>
        <v>-0.47764484062449608</v>
      </c>
      <c r="L52">
        <f t="shared" si="9"/>
        <v>0.87855301844840294</v>
      </c>
      <c r="M52">
        <f t="shared" si="10"/>
        <v>0.82857142857142863</v>
      </c>
      <c r="N52">
        <f t="shared" si="11"/>
        <v>271</v>
      </c>
      <c r="O52">
        <f t="shared" si="12"/>
        <v>-148</v>
      </c>
      <c r="P52">
        <f t="shared" si="13"/>
        <v>46</v>
      </c>
      <c r="Q52">
        <f t="shared" si="14"/>
        <v>112</v>
      </c>
    </row>
    <row r="53" spans="2:17" x14ac:dyDescent="0.15">
      <c r="B53">
        <v>49</v>
      </c>
      <c r="C53">
        <f t="shared" si="15"/>
        <v>7.696902001294994</v>
      </c>
      <c r="D53">
        <f t="shared" si="1"/>
        <v>0.98768834059513777</v>
      </c>
      <c r="E53">
        <f t="shared" si="2"/>
        <v>1.0343048116166595</v>
      </c>
      <c r="F53">
        <f t="shared" si="3"/>
        <v>0.85950723702374809</v>
      </c>
      <c r="G53">
        <f t="shared" si="4"/>
        <v>59</v>
      </c>
      <c r="H53">
        <f t="shared" si="5"/>
        <v>178.71092698440114</v>
      </c>
      <c r="I53">
        <f t="shared" si="6"/>
        <v>178</v>
      </c>
      <c r="J53">
        <f t="shared" si="7"/>
        <v>0.51715240580832977</v>
      </c>
      <c r="K53">
        <f t="shared" si="8"/>
        <v>-0.49440692978035133</v>
      </c>
      <c r="L53">
        <f t="shared" si="9"/>
        <v>0.86923057227939626</v>
      </c>
      <c r="M53">
        <f t="shared" si="10"/>
        <v>0.84285714285714286</v>
      </c>
      <c r="N53">
        <f t="shared" si="11"/>
        <v>264</v>
      </c>
      <c r="O53">
        <f t="shared" si="12"/>
        <v>-151</v>
      </c>
      <c r="P53">
        <f t="shared" si="13"/>
        <v>50</v>
      </c>
      <c r="Q53">
        <f t="shared" si="14"/>
        <v>112</v>
      </c>
    </row>
    <row r="54" spans="2:17" x14ac:dyDescent="0.15">
      <c r="B54">
        <v>50</v>
      </c>
      <c r="C54">
        <f t="shared" si="15"/>
        <v>7.8539816339744828</v>
      </c>
      <c r="D54">
        <f t="shared" si="1"/>
        <v>1</v>
      </c>
      <c r="E54">
        <f t="shared" si="2"/>
        <v>1.0471975511965976</v>
      </c>
      <c r="F54">
        <f t="shared" si="3"/>
        <v>0.8660254037844386</v>
      </c>
      <c r="G54">
        <f t="shared" si="4"/>
        <v>60</v>
      </c>
      <c r="H54">
        <f t="shared" si="5"/>
        <v>179.96152422706632</v>
      </c>
      <c r="I54">
        <f t="shared" si="6"/>
        <v>179</v>
      </c>
      <c r="J54">
        <f t="shared" si="7"/>
        <v>0.52359877559829882</v>
      </c>
      <c r="K54">
        <f t="shared" si="8"/>
        <v>-0.49999999999999994</v>
      </c>
      <c r="L54">
        <f t="shared" si="9"/>
        <v>0.86602540378443871</v>
      </c>
      <c r="M54">
        <f t="shared" si="10"/>
        <v>0.8571428571428571</v>
      </c>
      <c r="N54">
        <f t="shared" si="11"/>
        <v>258</v>
      </c>
      <c r="O54">
        <f t="shared" si="12"/>
        <v>-150</v>
      </c>
      <c r="P54">
        <f t="shared" si="13"/>
        <v>52</v>
      </c>
      <c r="Q54">
        <f t="shared" si="14"/>
        <v>111</v>
      </c>
    </row>
    <row r="55" spans="2:17" x14ac:dyDescent="0.15">
      <c r="B55">
        <v>51</v>
      </c>
      <c r="C55">
        <f t="shared" si="15"/>
        <v>8.0110612666539716</v>
      </c>
      <c r="D55">
        <f t="shared" si="1"/>
        <v>0.98768834059513788</v>
      </c>
      <c r="E55">
        <f t="shared" si="2"/>
        <v>1.0343048116166595</v>
      </c>
      <c r="F55">
        <f t="shared" si="3"/>
        <v>0.85950723702374809</v>
      </c>
      <c r="G55">
        <f t="shared" si="4"/>
        <v>61</v>
      </c>
      <c r="H55">
        <f t="shared" si="5"/>
        <v>180.42994145844864</v>
      </c>
      <c r="I55">
        <f t="shared" si="6"/>
        <v>180</v>
      </c>
      <c r="J55">
        <f t="shared" si="7"/>
        <v>0.51715240580832977</v>
      </c>
      <c r="K55">
        <f t="shared" si="8"/>
        <v>-0.49440692978035133</v>
      </c>
      <c r="L55">
        <f t="shared" si="9"/>
        <v>0.86923057227939626</v>
      </c>
      <c r="M55">
        <f t="shared" si="10"/>
        <v>0.87142857142857144</v>
      </c>
      <c r="N55">
        <f t="shared" si="11"/>
        <v>255</v>
      </c>
      <c r="O55">
        <f t="shared" si="12"/>
        <v>-146</v>
      </c>
      <c r="P55">
        <f t="shared" si="13"/>
        <v>52</v>
      </c>
      <c r="Q55">
        <f t="shared" si="14"/>
        <v>110</v>
      </c>
    </row>
    <row r="56" spans="2:17" x14ac:dyDescent="0.15">
      <c r="B56">
        <v>52</v>
      </c>
      <c r="C56">
        <f t="shared" si="15"/>
        <v>8.1681408993334621</v>
      </c>
      <c r="D56">
        <f t="shared" si="1"/>
        <v>0.95105651629515364</v>
      </c>
      <c r="E56">
        <f t="shared" si="2"/>
        <v>0.99594405491385196</v>
      </c>
      <c r="F56">
        <f t="shared" si="3"/>
        <v>0.83927263295391474</v>
      </c>
      <c r="G56">
        <f t="shared" si="4"/>
        <v>62</v>
      </c>
      <c r="H56">
        <f t="shared" si="5"/>
        <v>180.03490324314271</v>
      </c>
      <c r="I56">
        <f t="shared" si="6"/>
        <v>180</v>
      </c>
      <c r="J56">
        <f t="shared" si="7"/>
        <v>0.49797202745692598</v>
      </c>
      <c r="K56">
        <f t="shared" si="8"/>
        <v>-0.47764484062449608</v>
      </c>
      <c r="L56">
        <f t="shared" si="9"/>
        <v>0.87855301844840283</v>
      </c>
      <c r="M56">
        <f t="shared" si="10"/>
        <v>0.88571428571428568</v>
      </c>
      <c r="N56">
        <f t="shared" si="11"/>
        <v>253</v>
      </c>
      <c r="O56">
        <f t="shared" si="12"/>
        <v>-139</v>
      </c>
      <c r="P56">
        <f t="shared" si="13"/>
        <v>51</v>
      </c>
      <c r="Q56">
        <f t="shared" si="14"/>
        <v>108</v>
      </c>
    </row>
    <row r="57" spans="2:17" x14ac:dyDescent="0.15">
      <c r="B57">
        <v>53</v>
      </c>
      <c r="C57">
        <f t="shared" si="15"/>
        <v>8.3252205320129509</v>
      </c>
      <c r="D57">
        <f t="shared" si="1"/>
        <v>0.89100652418836845</v>
      </c>
      <c r="E57">
        <f t="shared" si="2"/>
        <v>0.93305985023025162</v>
      </c>
      <c r="F57">
        <f t="shared" si="3"/>
        <v>0.80344546782369219</v>
      </c>
      <c r="G57">
        <f t="shared" si="4"/>
        <v>63</v>
      </c>
      <c r="H57">
        <f t="shared" si="5"/>
        <v>178.61706447289259</v>
      </c>
      <c r="I57">
        <f t="shared" si="6"/>
        <v>178</v>
      </c>
      <c r="J57">
        <f t="shared" si="7"/>
        <v>0.46652992511512581</v>
      </c>
      <c r="K57">
        <f t="shared" si="8"/>
        <v>-0.44978975616883787</v>
      </c>
      <c r="L57">
        <f t="shared" si="9"/>
        <v>0.89313446649738992</v>
      </c>
      <c r="M57">
        <f t="shared" si="10"/>
        <v>0.9</v>
      </c>
      <c r="N57">
        <f t="shared" si="11"/>
        <v>254</v>
      </c>
      <c r="O57">
        <f t="shared" si="12"/>
        <v>-128</v>
      </c>
      <c r="P57">
        <f t="shared" si="13"/>
        <v>47</v>
      </c>
      <c r="Q57">
        <f t="shared" si="14"/>
        <v>106</v>
      </c>
    </row>
    <row r="58" spans="2:17" x14ac:dyDescent="0.15">
      <c r="B58">
        <v>54</v>
      </c>
      <c r="C58">
        <f t="shared" si="15"/>
        <v>8.4823001646924414</v>
      </c>
      <c r="D58">
        <f t="shared" si="1"/>
        <v>0.80901699437494767</v>
      </c>
      <c r="E58">
        <f t="shared" si="2"/>
        <v>0.84720061538587688</v>
      </c>
      <c r="F58">
        <f t="shared" si="3"/>
        <v>0.74942991716629592</v>
      </c>
      <c r="G58">
        <f t="shared" si="4"/>
        <v>64</v>
      </c>
      <c r="H58">
        <f t="shared" si="5"/>
        <v>175.96351469864294</v>
      </c>
      <c r="I58">
        <f t="shared" si="6"/>
        <v>175</v>
      </c>
      <c r="J58">
        <f t="shared" si="7"/>
        <v>0.42360030769293844</v>
      </c>
      <c r="K58">
        <f t="shared" si="8"/>
        <v>-0.41104520435714337</v>
      </c>
      <c r="L58">
        <f t="shared" si="9"/>
        <v>0.91161496256643038</v>
      </c>
      <c r="M58">
        <f t="shared" si="10"/>
        <v>0.91428571428571426</v>
      </c>
      <c r="N58">
        <f t="shared" si="11"/>
        <v>255</v>
      </c>
      <c r="O58">
        <f t="shared" si="12"/>
        <v>-116</v>
      </c>
      <c r="P58">
        <f t="shared" si="13"/>
        <v>43</v>
      </c>
      <c r="Q58">
        <f t="shared" si="14"/>
        <v>103</v>
      </c>
    </row>
    <row r="59" spans="2:17" x14ac:dyDescent="0.15">
      <c r="B59">
        <v>55</v>
      </c>
      <c r="C59">
        <f t="shared" si="15"/>
        <v>8.6393797973719302</v>
      </c>
      <c r="D59">
        <f t="shared" si="1"/>
        <v>0.70710678118654835</v>
      </c>
      <c r="E59">
        <f t="shared" si="2"/>
        <v>0.74048048969306191</v>
      </c>
      <c r="F59">
        <f t="shared" si="3"/>
        <v>0.67464266030907183</v>
      </c>
      <c r="G59">
        <f t="shared" si="4"/>
        <v>65</v>
      </c>
      <c r="H59">
        <f t="shared" si="5"/>
        <v>171.85177292008967</v>
      </c>
      <c r="I59">
        <f t="shared" si="6"/>
        <v>171</v>
      </c>
      <c r="J59">
        <f t="shared" si="7"/>
        <v>0.37024024484653095</v>
      </c>
      <c r="K59">
        <f t="shared" si="8"/>
        <v>-0.36183940836708417</v>
      </c>
      <c r="L59">
        <f t="shared" si="9"/>
        <v>0.9322404424570726</v>
      </c>
      <c r="M59">
        <f t="shared" si="10"/>
        <v>0.9285714285714286</v>
      </c>
      <c r="N59">
        <f t="shared" si="11"/>
        <v>257</v>
      </c>
      <c r="O59">
        <f t="shared" si="12"/>
        <v>-100</v>
      </c>
      <c r="P59">
        <f t="shared" si="13"/>
        <v>37</v>
      </c>
      <c r="Q59">
        <f t="shared" si="14"/>
        <v>100</v>
      </c>
    </row>
    <row r="60" spans="2:17" x14ac:dyDescent="0.15">
      <c r="B60">
        <v>56</v>
      </c>
      <c r="C60">
        <f t="shared" si="15"/>
        <v>8.7964594300514207</v>
      </c>
      <c r="D60">
        <f t="shared" si="1"/>
        <v>0.58778525229247336</v>
      </c>
      <c r="E60">
        <f t="shared" si="2"/>
        <v>0.6155272768301524</v>
      </c>
      <c r="F60">
        <f t="shared" si="3"/>
        <v>0.57738910777622643</v>
      </c>
      <c r="G60">
        <f t="shared" si="4"/>
        <v>66</v>
      </c>
      <c r="H60">
        <f t="shared" si="5"/>
        <v>166.10768111323094</v>
      </c>
      <c r="I60">
        <f t="shared" si="6"/>
        <v>166</v>
      </c>
      <c r="J60">
        <f t="shared" si="7"/>
        <v>0.3077636384150762</v>
      </c>
      <c r="K60">
        <f t="shared" si="8"/>
        <v>-0.30292811316041995</v>
      </c>
      <c r="L60">
        <f t="shared" si="9"/>
        <v>0.9530134092745326</v>
      </c>
      <c r="M60">
        <f t="shared" si="10"/>
        <v>0.94285714285714284</v>
      </c>
      <c r="N60">
        <f t="shared" si="11"/>
        <v>258</v>
      </c>
      <c r="O60">
        <f t="shared" si="12"/>
        <v>-83</v>
      </c>
      <c r="P60">
        <f t="shared" si="13"/>
        <v>31</v>
      </c>
      <c r="Q60">
        <f t="shared" si="14"/>
        <v>97</v>
      </c>
    </row>
    <row r="61" spans="2:17" x14ac:dyDescent="0.15">
      <c r="B61">
        <v>57</v>
      </c>
      <c r="C61">
        <f t="shared" si="15"/>
        <v>8.9535390627309113</v>
      </c>
      <c r="D61">
        <f t="shared" si="1"/>
        <v>0.4539904997395463</v>
      </c>
      <c r="E61">
        <f t="shared" si="2"/>
        <v>0.47541773959377248</v>
      </c>
      <c r="F61">
        <f t="shared" si="3"/>
        <v>0.45770990004419138</v>
      </c>
      <c r="G61">
        <f t="shared" si="4"/>
        <v>67</v>
      </c>
      <c r="H61">
        <f t="shared" si="5"/>
        <v>158.66656330296081</v>
      </c>
      <c r="I61">
        <f t="shared" si="6"/>
        <v>158</v>
      </c>
      <c r="J61">
        <f t="shared" si="7"/>
        <v>0.23770886979688624</v>
      </c>
      <c r="K61">
        <f t="shared" si="8"/>
        <v>-0.23547654271926616</v>
      </c>
      <c r="L61">
        <f t="shared" si="9"/>
        <v>0.9718800326321051</v>
      </c>
      <c r="M61">
        <f t="shared" si="10"/>
        <v>0.95714285714285718</v>
      </c>
      <c r="N61">
        <f t="shared" si="11"/>
        <v>259</v>
      </c>
      <c r="O61">
        <f t="shared" si="12"/>
        <v>-63</v>
      </c>
      <c r="P61">
        <f t="shared" si="13"/>
        <v>25</v>
      </c>
      <c r="Q61">
        <f t="shared" si="14"/>
        <v>93</v>
      </c>
    </row>
    <row r="62" spans="2:17" x14ac:dyDescent="0.15">
      <c r="B62">
        <v>58</v>
      </c>
      <c r="C62">
        <f t="shared" si="15"/>
        <v>9.1106186954104</v>
      </c>
      <c r="D62">
        <f t="shared" si="1"/>
        <v>0.30901699437494778</v>
      </c>
      <c r="E62">
        <f t="shared" si="2"/>
        <v>0.32360183978757812</v>
      </c>
      <c r="F62">
        <f t="shared" si="3"/>
        <v>0.31798350664708569</v>
      </c>
      <c r="G62">
        <f t="shared" si="4"/>
        <v>68</v>
      </c>
      <c r="H62">
        <f t="shared" si="5"/>
        <v>149.62287845200183</v>
      </c>
      <c r="I62">
        <f t="shared" si="6"/>
        <v>149</v>
      </c>
      <c r="J62">
        <f t="shared" si="7"/>
        <v>0.16180091989378906</v>
      </c>
      <c r="K62">
        <f t="shared" si="8"/>
        <v>-0.16109586454821898</v>
      </c>
      <c r="L62">
        <f t="shared" si="9"/>
        <v>0.98693876326014363</v>
      </c>
      <c r="M62">
        <f t="shared" si="10"/>
        <v>0.97142857142857142</v>
      </c>
      <c r="N62">
        <f t="shared" si="11"/>
        <v>260</v>
      </c>
      <c r="O62">
        <f t="shared" si="12"/>
        <v>-43</v>
      </c>
      <c r="P62">
        <f t="shared" si="13"/>
        <v>18</v>
      </c>
      <c r="Q62">
        <f t="shared" si="14"/>
        <v>89</v>
      </c>
    </row>
    <row r="63" spans="2:17" x14ac:dyDescent="0.15">
      <c r="B63">
        <v>59</v>
      </c>
      <c r="C63">
        <f t="shared" si="15"/>
        <v>9.2676983280898906</v>
      </c>
      <c r="D63">
        <f t="shared" si="1"/>
        <v>0.15643446504023034</v>
      </c>
      <c r="E63">
        <f t="shared" si="2"/>
        <v>0.16381778871287897</v>
      </c>
      <c r="F63">
        <f t="shared" si="3"/>
        <v>0.16308606156716032</v>
      </c>
      <c r="G63">
        <f t="shared" si="4"/>
        <v>69</v>
      </c>
      <c r="H63">
        <f t="shared" si="5"/>
        <v>139.25293824813406</v>
      </c>
      <c r="I63">
        <f t="shared" si="6"/>
        <v>139</v>
      </c>
      <c r="J63">
        <f t="shared" si="7"/>
        <v>8.1908894356439485E-2</v>
      </c>
      <c r="K63">
        <f t="shared" si="8"/>
        <v>-8.1817336365594753E-2</v>
      </c>
      <c r="L63">
        <f t="shared" si="9"/>
        <v>0.99664734157576473</v>
      </c>
      <c r="M63">
        <f t="shared" si="10"/>
        <v>0.98571428571428577</v>
      </c>
      <c r="N63">
        <f t="shared" si="11"/>
        <v>258</v>
      </c>
      <c r="O63">
        <f t="shared" si="12"/>
        <v>-22</v>
      </c>
      <c r="P63">
        <f t="shared" si="13"/>
        <v>12</v>
      </c>
      <c r="Q63">
        <f t="shared" si="14"/>
        <v>84</v>
      </c>
    </row>
    <row r="64" spans="2:17" x14ac:dyDescent="0.15">
      <c r="B64">
        <v>60</v>
      </c>
      <c r="C64">
        <f t="shared" si="15"/>
        <v>9.4247779607693793</v>
      </c>
      <c r="D64">
        <f t="shared" si="1"/>
        <v>3.67544536472586E-16</v>
      </c>
      <c r="E64">
        <f t="shared" si="2"/>
        <v>3.8489173854978065E-16</v>
      </c>
      <c r="F64">
        <f t="shared" si="3"/>
        <v>3.8489173854978065E-16</v>
      </c>
      <c r="G64">
        <f t="shared" si="4"/>
        <v>70</v>
      </c>
      <c r="H64">
        <f t="shared" si="5"/>
        <v>128.00000000000003</v>
      </c>
      <c r="I64">
        <f t="shared" si="6"/>
        <v>128</v>
      </c>
      <c r="J64">
        <f t="shared" si="7"/>
        <v>1.9244586927489033E-16</v>
      </c>
      <c r="K64">
        <f t="shared" si="8"/>
        <v>-1.9244586927489033E-16</v>
      </c>
      <c r="L64">
        <f t="shared" si="9"/>
        <v>1</v>
      </c>
      <c r="M64">
        <f t="shared" si="10"/>
        <v>1</v>
      </c>
      <c r="N64">
        <f t="shared" si="11"/>
        <v>256</v>
      </c>
      <c r="O64">
        <f t="shared" si="12"/>
        <v>-1</v>
      </c>
      <c r="P64">
        <f t="shared" si="13"/>
        <v>6</v>
      </c>
      <c r="Q64">
        <f t="shared" si="14"/>
        <v>80</v>
      </c>
    </row>
  </sheetData>
  <phoneticPr fontId="1"/>
  <pageMargins left="0.7" right="0.7" top="0.75" bottom="0.75" header="0.3" footer="0.3"/>
  <pageSetup paperSize="9" orientation="portrait" horizontalDpi="4294967293" verticalDpi="0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L64"/>
  <sheetViews>
    <sheetView topLeftCell="A25" zoomScale="85" zoomScaleNormal="85" workbookViewId="0">
      <selection activeCell="R41" sqref="R41"/>
    </sheetView>
  </sheetViews>
  <sheetFormatPr defaultRowHeight="13.5" x14ac:dyDescent="0.15"/>
  <cols>
    <col min="3" max="3" width="12.75" bestFit="1" customWidth="1"/>
    <col min="4" max="6" width="13.875" bestFit="1" customWidth="1"/>
    <col min="7" max="7" width="17.25" bestFit="1" customWidth="1"/>
    <col min="8" max="8" width="17.25" customWidth="1"/>
  </cols>
  <sheetData>
    <row r="1" spans="2:12" x14ac:dyDescent="0.15">
      <c r="B1" t="s">
        <v>18</v>
      </c>
    </row>
    <row r="2" spans="2:12" x14ac:dyDescent="0.15">
      <c r="D2" t="s">
        <v>13</v>
      </c>
      <c r="E2" t="s">
        <v>12</v>
      </c>
    </row>
    <row r="3" spans="2:12" x14ac:dyDescent="0.15">
      <c r="B3" t="s">
        <v>0</v>
      </c>
      <c r="C3" t="s">
        <v>1</v>
      </c>
      <c r="D3" t="s">
        <v>2</v>
      </c>
      <c r="E3" t="s">
        <v>17</v>
      </c>
      <c r="F3" t="s">
        <v>15</v>
      </c>
      <c r="G3" t="s">
        <v>19</v>
      </c>
      <c r="H3" t="s">
        <v>20</v>
      </c>
      <c r="I3" t="s">
        <v>12</v>
      </c>
      <c r="J3" t="s">
        <v>13</v>
      </c>
      <c r="K3" t="s">
        <v>15</v>
      </c>
      <c r="L3" t="s">
        <v>16</v>
      </c>
    </row>
    <row r="4" spans="2:12" x14ac:dyDescent="0.15">
      <c r="B4">
        <v>0</v>
      </c>
      <c r="C4">
        <f>B4/60*2*PI()</f>
        <v>0</v>
      </c>
      <c r="D4">
        <f>SIN(C4)</f>
        <v>0</v>
      </c>
      <c r="E4">
        <f>COS(C4)</f>
        <v>1</v>
      </c>
      <c r="F4">
        <f>211-211*E4+80*D4</f>
        <v>0</v>
      </c>
      <c r="G4">
        <f>80-211*D4-80*E4</f>
        <v>0</v>
      </c>
      <c r="H4">
        <f>G4/2</f>
        <v>0</v>
      </c>
      <c r="I4">
        <f>INT(E4*256)</f>
        <v>256</v>
      </c>
      <c r="J4">
        <f>INT(D4*256)</f>
        <v>0</v>
      </c>
      <c r="K4">
        <f>INT(F4)</f>
        <v>0</v>
      </c>
      <c r="L4">
        <f>INT(H4)+192</f>
        <v>192</v>
      </c>
    </row>
    <row r="5" spans="2:12" x14ac:dyDescent="0.15">
      <c r="B5">
        <v>1</v>
      </c>
      <c r="C5">
        <f t="shared" ref="C5:C64" si="0">B5/60*2*PI()</f>
        <v>0.10471975511965977</v>
      </c>
      <c r="D5">
        <f t="shared" ref="D5:D64" si="1">SIN(C5)</f>
        <v>0.10452846326765346</v>
      </c>
      <c r="E5">
        <f t="shared" ref="E5:E64" si="2">COS(C5)</f>
        <v>0.99452189536827329</v>
      </c>
      <c r="F5">
        <f t="shared" ref="F5:F64" si="3">211-211*E5+80*D5</f>
        <v>9.5181571387066182</v>
      </c>
      <c r="G5">
        <f t="shared" ref="G5:G64" si="4">80-211*D5-80*E5</f>
        <v>-21.617257378936742</v>
      </c>
      <c r="H5">
        <f t="shared" ref="H5:H64" si="5">G5/2</f>
        <v>-10.808628689468371</v>
      </c>
      <c r="I5">
        <f t="shared" ref="I5:I64" si="6">INT(E5*256)</f>
        <v>254</v>
      </c>
      <c r="J5">
        <f t="shared" ref="J5:J64" si="7">INT(D5*256)</f>
        <v>26</v>
      </c>
      <c r="K5">
        <f t="shared" ref="K5:K64" si="8">INT(F5)</f>
        <v>9</v>
      </c>
      <c r="L5">
        <f t="shared" ref="L5:L64" si="9">INT(H5)+192</f>
        <v>181</v>
      </c>
    </row>
    <row r="6" spans="2:12" x14ac:dyDescent="0.15">
      <c r="B6">
        <v>2</v>
      </c>
      <c r="C6">
        <f t="shared" si="0"/>
        <v>0.20943951023931953</v>
      </c>
      <c r="D6">
        <f t="shared" si="1"/>
        <v>0.20791169081775931</v>
      </c>
      <c r="E6">
        <f t="shared" si="2"/>
        <v>0.97814760073380569</v>
      </c>
      <c r="F6">
        <f t="shared" si="3"/>
        <v>21.24379151058773</v>
      </c>
      <c r="G6">
        <f t="shared" si="4"/>
        <v>-42.121174821251671</v>
      </c>
      <c r="H6">
        <f t="shared" si="5"/>
        <v>-21.060587410625836</v>
      </c>
      <c r="I6">
        <f t="shared" si="6"/>
        <v>250</v>
      </c>
      <c r="J6">
        <f t="shared" si="7"/>
        <v>53</v>
      </c>
      <c r="K6">
        <f t="shared" si="8"/>
        <v>21</v>
      </c>
      <c r="L6">
        <f t="shared" si="9"/>
        <v>170</v>
      </c>
    </row>
    <row r="7" spans="2:12" x14ac:dyDescent="0.15">
      <c r="B7">
        <v>3</v>
      </c>
      <c r="C7">
        <f t="shared" si="0"/>
        <v>0.31415926535897931</v>
      </c>
      <c r="D7">
        <f t="shared" si="1"/>
        <v>0.3090169943749474</v>
      </c>
      <c r="E7">
        <f t="shared" si="2"/>
        <v>0.95105651629515353</v>
      </c>
      <c r="F7">
        <f t="shared" si="3"/>
        <v>35.048434611718406</v>
      </c>
      <c r="G7">
        <f t="shared" si="4"/>
        <v>-61.287107116726176</v>
      </c>
      <c r="H7">
        <f t="shared" si="5"/>
        <v>-30.643553558363088</v>
      </c>
      <c r="I7">
        <f t="shared" si="6"/>
        <v>243</v>
      </c>
      <c r="J7">
        <f t="shared" si="7"/>
        <v>79</v>
      </c>
      <c r="K7">
        <f t="shared" si="8"/>
        <v>35</v>
      </c>
      <c r="L7">
        <f t="shared" si="9"/>
        <v>161</v>
      </c>
    </row>
    <row r="8" spans="2:12" x14ac:dyDescent="0.15">
      <c r="B8">
        <v>4</v>
      </c>
      <c r="C8">
        <f t="shared" si="0"/>
        <v>0.41887902047863906</v>
      </c>
      <c r="D8">
        <f t="shared" si="1"/>
        <v>0.40673664307580015</v>
      </c>
      <c r="E8">
        <f t="shared" si="2"/>
        <v>0.91354545764260087</v>
      </c>
      <c r="F8">
        <f t="shared" si="3"/>
        <v>50.780839883475224</v>
      </c>
      <c r="G8">
        <f t="shared" si="4"/>
        <v>-78.905068300401894</v>
      </c>
      <c r="H8">
        <f t="shared" si="5"/>
        <v>-39.452534150200947</v>
      </c>
      <c r="I8">
        <f t="shared" si="6"/>
        <v>233</v>
      </c>
      <c r="J8">
        <f t="shared" si="7"/>
        <v>104</v>
      </c>
      <c r="K8">
        <f t="shared" si="8"/>
        <v>50</v>
      </c>
      <c r="L8">
        <f t="shared" si="9"/>
        <v>152</v>
      </c>
    </row>
    <row r="9" spans="2:12" x14ac:dyDescent="0.15">
      <c r="B9">
        <v>5</v>
      </c>
      <c r="C9">
        <f t="shared" si="0"/>
        <v>0.52359877559829882</v>
      </c>
      <c r="D9">
        <f t="shared" si="1"/>
        <v>0.49999999999999994</v>
      </c>
      <c r="E9">
        <f t="shared" si="2"/>
        <v>0.86602540378443871</v>
      </c>
      <c r="F9">
        <f t="shared" si="3"/>
        <v>68.268639801483431</v>
      </c>
      <c r="G9">
        <f t="shared" si="4"/>
        <v>-94.782032302755084</v>
      </c>
      <c r="H9">
        <f t="shared" si="5"/>
        <v>-47.391016151377542</v>
      </c>
      <c r="I9">
        <f t="shared" si="6"/>
        <v>221</v>
      </c>
      <c r="J9">
        <f t="shared" si="7"/>
        <v>128</v>
      </c>
      <c r="K9">
        <f t="shared" si="8"/>
        <v>68</v>
      </c>
      <c r="L9">
        <f t="shared" si="9"/>
        <v>144</v>
      </c>
    </row>
    <row r="10" spans="2:12" x14ac:dyDescent="0.15">
      <c r="B10">
        <v>6</v>
      </c>
      <c r="C10">
        <f t="shared" si="0"/>
        <v>0.62831853071795862</v>
      </c>
      <c r="D10">
        <f t="shared" si="1"/>
        <v>0.58778525229247314</v>
      </c>
      <c r="E10">
        <f t="shared" si="2"/>
        <v>0.80901699437494745</v>
      </c>
      <c r="F10">
        <f t="shared" si="3"/>
        <v>87.320234370283956</v>
      </c>
      <c r="G10">
        <f t="shared" si="4"/>
        <v>-108.74404778370763</v>
      </c>
      <c r="H10">
        <f t="shared" si="5"/>
        <v>-54.372023891853814</v>
      </c>
      <c r="I10">
        <f t="shared" si="6"/>
        <v>207</v>
      </c>
      <c r="J10">
        <f t="shared" si="7"/>
        <v>150</v>
      </c>
      <c r="K10">
        <f t="shared" si="8"/>
        <v>87</v>
      </c>
      <c r="L10">
        <f t="shared" si="9"/>
        <v>137</v>
      </c>
    </row>
    <row r="11" spans="2:12" x14ac:dyDescent="0.15">
      <c r="B11">
        <v>7</v>
      </c>
      <c r="C11">
        <f t="shared" si="0"/>
        <v>0.73303828583761843</v>
      </c>
      <c r="D11">
        <f t="shared" si="1"/>
        <v>0.66913060635885824</v>
      </c>
      <c r="E11">
        <f t="shared" si="2"/>
        <v>0.74314482547739424</v>
      </c>
      <c r="F11">
        <f t="shared" si="3"/>
        <v>107.72689033297847</v>
      </c>
      <c r="G11">
        <f t="shared" si="4"/>
        <v>-120.63814397991062</v>
      </c>
      <c r="H11">
        <f t="shared" si="5"/>
        <v>-60.319071989955312</v>
      </c>
      <c r="I11">
        <f t="shared" si="6"/>
        <v>190</v>
      </c>
      <c r="J11">
        <f t="shared" si="7"/>
        <v>171</v>
      </c>
      <c r="K11">
        <f t="shared" si="8"/>
        <v>107</v>
      </c>
      <c r="L11">
        <f t="shared" si="9"/>
        <v>131</v>
      </c>
    </row>
    <row r="12" spans="2:12" x14ac:dyDescent="0.15">
      <c r="B12">
        <v>8</v>
      </c>
      <c r="C12">
        <f t="shared" si="0"/>
        <v>0.83775804095727813</v>
      </c>
      <c r="D12">
        <f t="shared" si="1"/>
        <v>0.74314482547739413</v>
      </c>
      <c r="E12">
        <f t="shared" si="2"/>
        <v>0.66913060635885824</v>
      </c>
      <c r="F12">
        <f t="shared" si="3"/>
        <v>129.26502809647243</v>
      </c>
      <c r="G12">
        <f t="shared" si="4"/>
        <v>-130.3340066844388</v>
      </c>
      <c r="H12">
        <f t="shared" si="5"/>
        <v>-65.167003342219402</v>
      </c>
      <c r="I12">
        <f t="shared" si="6"/>
        <v>171</v>
      </c>
      <c r="J12">
        <f t="shared" si="7"/>
        <v>190</v>
      </c>
      <c r="K12">
        <f t="shared" si="8"/>
        <v>129</v>
      </c>
      <c r="L12">
        <f t="shared" si="9"/>
        <v>126</v>
      </c>
    </row>
    <row r="13" spans="2:12" x14ac:dyDescent="0.15">
      <c r="B13">
        <v>9</v>
      </c>
      <c r="C13">
        <f t="shared" si="0"/>
        <v>0.94247779607693793</v>
      </c>
      <c r="D13">
        <f t="shared" si="1"/>
        <v>0.80901699437494745</v>
      </c>
      <c r="E13">
        <f t="shared" si="2"/>
        <v>0.58778525229247314</v>
      </c>
      <c r="F13">
        <f t="shared" si="3"/>
        <v>151.69867131628396</v>
      </c>
      <c r="G13">
        <f t="shared" si="4"/>
        <v>-137.72540599651177</v>
      </c>
      <c r="H13">
        <f t="shared" si="5"/>
        <v>-68.862702998255884</v>
      </c>
      <c r="I13">
        <f t="shared" si="6"/>
        <v>150</v>
      </c>
      <c r="J13">
        <f t="shared" si="7"/>
        <v>207</v>
      </c>
      <c r="K13">
        <f t="shared" si="8"/>
        <v>151</v>
      </c>
      <c r="L13">
        <f t="shared" si="9"/>
        <v>123</v>
      </c>
    </row>
    <row r="14" spans="2:12" x14ac:dyDescent="0.15">
      <c r="B14">
        <v>10</v>
      </c>
      <c r="C14">
        <f t="shared" si="0"/>
        <v>1.0471975511965976</v>
      </c>
      <c r="D14">
        <f t="shared" si="1"/>
        <v>0.8660254037844386</v>
      </c>
      <c r="E14">
        <f t="shared" si="2"/>
        <v>0.50000000000000011</v>
      </c>
      <c r="F14">
        <f t="shared" si="3"/>
        <v>174.78203230275506</v>
      </c>
      <c r="G14">
        <f t="shared" si="4"/>
        <v>-142.73136019851654</v>
      </c>
      <c r="H14">
        <f t="shared" si="5"/>
        <v>-71.36568009925827</v>
      </c>
      <c r="I14">
        <f t="shared" si="6"/>
        <v>128</v>
      </c>
      <c r="J14">
        <f t="shared" si="7"/>
        <v>221</v>
      </c>
      <c r="K14">
        <f t="shared" si="8"/>
        <v>174</v>
      </c>
      <c r="L14">
        <f t="shared" si="9"/>
        <v>120</v>
      </c>
    </row>
    <row r="15" spans="2:12" x14ac:dyDescent="0.15">
      <c r="B15">
        <v>11</v>
      </c>
      <c r="C15">
        <f t="shared" si="0"/>
        <v>1.1519173063162573</v>
      </c>
      <c r="D15">
        <f t="shared" si="1"/>
        <v>0.91354545764260087</v>
      </c>
      <c r="E15">
        <f t="shared" si="2"/>
        <v>0.40673664307580037</v>
      </c>
      <c r="F15">
        <f t="shared" si="3"/>
        <v>198.26220492241418</v>
      </c>
      <c r="G15">
        <f t="shared" si="4"/>
        <v>-145.29702300865281</v>
      </c>
      <c r="H15">
        <f t="shared" si="5"/>
        <v>-72.648511504326407</v>
      </c>
      <c r="I15">
        <f t="shared" si="6"/>
        <v>104</v>
      </c>
      <c r="J15">
        <f t="shared" si="7"/>
        <v>233</v>
      </c>
      <c r="K15">
        <f t="shared" si="8"/>
        <v>198</v>
      </c>
      <c r="L15">
        <f t="shared" si="9"/>
        <v>119</v>
      </c>
    </row>
    <row r="16" spans="2:12" x14ac:dyDescent="0.15">
      <c r="B16">
        <v>12</v>
      </c>
      <c r="C16">
        <f t="shared" si="0"/>
        <v>1.2566370614359172</v>
      </c>
      <c r="D16">
        <f t="shared" si="1"/>
        <v>0.95105651629515353</v>
      </c>
      <c r="E16">
        <f t="shared" si="2"/>
        <v>0.30901699437494745</v>
      </c>
      <c r="F16">
        <f t="shared" si="3"/>
        <v>221.88193549049839</v>
      </c>
      <c r="G16">
        <f t="shared" si="4"/>
        <v>-145.39428448827317</v>
      </c>
      <c r="H16">
        <f t="shared" si="5"/>
        <v>-72.697142244136586</v>
      </c>
      <c r="I16">
        <f t="shared" si="6"/>
        <v>79</v>
      </c>
      <c r="J16">
        <f t="shared" si="7"/>
        <v>243</v>
      </c>
      <c r="K16">
        <f t="shared" si="8"/>
        <v>221</v>
      </c>
      <c r="L16">
        <f t="shared" si="9"/>
        <v>119</v>
      </c>
    </row>
    <row r="17" spans="2:12" x14ac:dyDescent="0.15">
      <c r="B17">
        <v>13</v>
      </c>
      <c r="C17">
        <f t="shared" si="0"/>
        <v>1.3613568165555772</v>
      </c>
      <c r="D17">
        <f t="shared" si="1"/>
        <v>0.97814760073380569</v>
      </c>
      <c r="E17">
        <f t="shared" si="2"/>
        <v>0.20791169081775923</v>
      </c>
      <c r="F17">
        <f t="shared" si="3"/>
        <v>245.38244129615725</v>
      </c>
      <c r="G17">
        <f t="shared" si="4"/>
        <v>-143.02207902025376</v>
      </c>
      <c r="H17">
        <f t="shared" si="5"/>
        <v>-71.511039510126878</v>
      </c>
      <c r="I17">
        <f t="shared" si="6"/>
        <v>53</v>
      </c>
      <c r="J17">
        <f t="shared" si="7"/>
        <v>250</v>
      </c>
      <c r="K17">
        <f t="shared" si="8"/>
        <v>245</v>
      </c>
      <c r="L17">
        <f t="shared" si="9"/>
        <v>120</v>
      </c>
    </row>
    <row r="18" spans="2:12" x14ac:dyDescent="0.15">
      <c r="B18">
        <v>14</v>
      </c>
      <c r="C18">
        <f t="shared" si="0"/>
        <v>1.4660765716752369</v>
      </c>
      <c r="D18">
        <f t="shared" si="1"/>
        <v>0.99452189536827329</v>
      </c>
      <c r="E18">
        <f t="shared" si="2"/>
        <v>0.10452846326765346</v>
      </c>
      <c r="F18">
        <f t="shared" si="3"/>
        <v>268.50624587998698</v>
      </c>
      <c r="G18">
        <f t="shared" si="4"/>
        <v>-138.20639698411793</v>
      </c>
      <c r="H18">
        <f t="shared" si="5"/>
        <v>-69.103198492058965</v>
      </c>
      <c r="I18">
        <f t="shared" si="6"/>
        <v>26</v>
      </c>
      <c r="J18">
        <f t="shared" si="7"/>
        <v>254</v>
      </c>
      <c r="K18">
        <f t="shared" si="8"/>
        <v>268</v>
      </c>
      <c r="L18">
        <f t="shared" si="9"/>
        <v>122</v>
      </c>
    </row>
    <row r="19" spans="2:12" x14ac:dyDescent="0.15">
      <c r="B19">
        <v>15</v>
      </c>
      <c r="C19">
        <f t="shared" si="0"/>
        <v>1.5707963267948966</v>
      </c>
      <c r="D19">
        <f t="shared" si="1"/>
        <v>1</v>
      </c>
      <c r="E19">
        <f t="shared" si="2"/>
        <v>6.1257422745431001E-17</v>
      </c>
      <c r="F19">
        <f t="shared" si="3"/>
        <v>291</v>
      </c>
      <c r="G19">
        <f t="shared" si="4"/>
        <v>-131</v>
      </c>
      <c r="H19">
        <f t="shared" si="5"/>
        <v>-65.5</v>
      </c>
      <c r="I19">
        <f t="shared" si="6"/>
        <v>0</v>
      </c>
      <c r="J19">
        <f t="shared" si="7"/>
        <v>256</v>
      </c>
      <c r="K19">
        <f t="shared" si="8"/>
        <v>291</v>
      </c>
      <c r="L19">
        <f t="shared" si="9"/>
        <v>126</v>
      </c>
    </row>
    <row r="20" spans="2:12" x14ac:dyDescent="0.15">
      <c r="B20">
        <v>16</v>
      </c>
      <c r="C20">
        <f t="shared" si="0"/>
        <v>1.6755160819145563</v>
      </c>
      <c r="D20">
        <f t="shared" si="1"/>
        <v>0.9945218953682734</v>
      </c>
      <c r="E20">
        <f t="shared" si="2"/>
        <v>-0.10452846326765333</v>
      </c>
      <c r="F20">
        <f t="shared" si="3"/>
        <v>312.61725737893676</v>
      </c>
      <c r="G20">
        <f t="shared" si="4"/>
        <v>-121.48184286129342</v>
      </c>
      <c r="H20">
        <f t="shared" si="5"/>
        <v>-60.740921430646708</v>
      </c>
      <c r="I20">
        <f t="shared" si="6"/>
        <v>-27</v>
      </c>
      <c r="J20">
        <f t="shared" si="7"/>
        <v>254</v>
      </c>
      <c r="K20">
        <f t="shared" si="8"/>
        <v>312</v>
      </c>
      <c r="L20">
        <f t="shared" si="9"/>
        <v>131</v>
      </c>
    </row>
    <row r="21" spans="2:12" x14ac:dyDescent="0.15">
      <c r="B21">
        <v>17</v>
      </c>
      <c r="C21">
        <f t="shared" si="0"/>
        <v>1.780235837034216</v>
      </c>
      <c r="D21">
        <f t="shared" si="1"/>
        <v>0.97814760073380569</v>
      </c>
      <c r="E21">
        <f t="shared" si="2"/>
        <v>-0.20791169081775912</v>
      </c>
      <c r="F21">
        <f t="shared" si="3"/>
        <v>333.12117482125166</v>
      </c>
      <c r="G21">
        <f t="shared" si="4"/>
        <v>-109.75620848941229</v>
      </c>
      <c r="H21">
        <f t="shared" si="5"/>
        <v>-54.878104244706144</v>
      </c>
      <c r="I21">
        <f t="shared" si="6"/>
        <v>-54</v>
      </c>
      <c r="J21">
        <f t="shared" si="7"/>
        <v>250</v>
      </c>
      <c r="K21">
        <f t="shared" si="8"/>
        <v>333</v>
      </c>
      <c r="L21">
        <f t="shared" si="9"/>
        <v>137</v>
      </c>
    </row>
    <row r="22" spans="2:12" x14ac:dyDescent="0.15">
      <c r="B22">
        <v>18</v>
      </c>
      <c r="C22">
        <f t="shared" si="0"/>
        <v>1.8849555921538759</v>
      </c>
      <c r="D22">
        <f t="shared" si="1"/>
        <v>0.95105651629515364</v>
      </c>
      <c r="E22">
        <f t="shared" si="2"/>
        <v>-0.30901699437494734</v>
      </c>
      <c r="F22">
        <f t="shared" si="3"/>
        <v>352.28710711672619</v>
      </c>
      <c r="G22">
        <f t="shared" si="4"/>
        <v>-95.951565388281637</v>
      </c>
      <c r="H22">
        <f t="shared" si="5"/>
        <v>-47.975782694140818</v>
      </c>
      <c r="I22">
        <f t="shared" si="6"/>
        <v>-80</v>
      </c>
      <c r="J22">
        <f t="shared" si="7"/>
        <v>243</v>
      </c>
      <c r="K22">
        <f t="shared" si="8"/>
        <v>352</v>
      </c>
      <c r="L22">
        <f t="shared" si="9"/>
        <v>144</v>
      </c>
    </row>
    <row r="23" spans="2:12" x14ac:dyDescent="0.15">
      <c r="B23">
        <v>19</v>
      </c>
      <c r="C23">
        <f t="shared" si="0"/>
        <v>1.9896753472735356</v>
      </c>
      <c r="D23">
        <f t="shared" si="1"/>
        <v>0.91354545764260098</v>
      </c>
      <c r="E23">
        <f t="shared" si="2"/>
        <v>-0.40673664307580004</v>
      </c>
      <c r="F23">
        <f t="shared" si="3"/>
        <v>369.90506830040192</v>
      </c>
      <c r="G23">
        <f t="shared" si="4"/>
        <v>-80.219160116524819</v>
      </c>
      <c r="H23">
        <f t="shared" si="5"/>
        <v>-40.109580058262409</v>
      </c>
      <c r="I23">
        <f t="shared" si="6"/>
        <v>-105</v>
      </c>
      <c r="J23">
        <f t="shared" si="7"/>
        <v>233</v>
      </c>
      <c r="K23">
        <f t="shared" si="8"/>
        <v>369</v>
      </c>
      <c r="L23">
        <f t="shared" si="9"/>
        <v>151</v>
      </c>
    </row>
    <row r="24" spans="2:12" x14ac:dyDescent="0.15">
      <c r="B24">
        <v>20</v>
      </c>
      <c r="C24">
        <f t="shared" si="0"/>
        <v>2.0943951023931953</v>
      </c>
      <c r="D24">
        <f t="shared" si="1"/>
        <v>0.86602540378443871</v>
      </c>
      <c r="E24">
        <f t="shared" si="2"/>
        <v>-0.49999999999999978</v>
      </c>
      <c r="F24">
        <f t="shared" si="3"/>
        <v>385.78203230275506</v>
      </c>
      <c r="G24">
        <f t="shared" si="4"/>
        <v>-62.731360198516583</v>
      </c>
      <c r="H24">
        <f t="shared" si="5"/>
        <v>-31.365680099258292</v>
      </c>
      <c r="I24">
        <f t="shared" si="6"/>
        <v>-128</v>
      </c>
      <c r="J24">
        <f t="shared" si="7"/>
        <v>221</v>
      </c>
      <c r="K24">
        <f t="shared" si="8"/>
        <v>385</v>
      </c>
      <c r="L24">
        <f t="shared" si="9"/>
        <v>160</v>
      </c>
    </row>
    <row r="25" spans="2:12" x14ac:dyDescent="0.15">
      <c r="B25">
        <v>21</v>
      </c>
      <c r="C25">
        <f t="shared" si="0"/>
        <v>2.1991148575128552</v>
      </c>
      <c r="D25">
        <f t="shared" si="1"/>
        <v>0.80901699437494745</v>
      </c>
      <c r="E25">
        <f t="shared" si="2"/>
        <v>-0.58778525229247303</v>
      </c>
      <c r="F25">
        <f t="shared" si="3"/>
        <v>399.74404778370757</v>
      </c>
      <c r="G25">
        <f t="shared" si="4"/>
        <v>-43.679765629716059</v>
      </c>
      <c r="H25">
        <f t="shared" si="5"/>
        <v>-21.839882814858029</v>
      </c>
      <c r="I25">
        <f t="shared" si="6"/>
        <v>-151</v>
      </c>
      <c r="J25">
        <f t="shared" si="7"/>
        <v>207</v>
      </c>
      <c r="K25">
        <f t="shared" si="8"/>
        <v>399</v>
      </c>
      <c r="L25">
        <f t="shared" si="9"/>
        <v>170</v>
      </c>
    </row>
    <row r="26" spans="2:12" x14ac:dyDescent="0.15">
      <c r="B26">
        <v>22</v>
      </c>
      <c r="C26">
        <f t="shared" si="0"/>
        <v>2.3038346126325147</v>
      </c>
      <c r="D26">
        <f t="shared" si="1"/>
        <v>0.74314482547739447</v>
      </c>
      <c r="E26">
        <f t="shared" si="2"/>
        <v>-0.6691306063588579</v>
      </c>
      <c r="F26">
        <f t="shared" si="3"/>
        <v>411.63814397991058</v>
      </c>
      <c r="G26">
        <f t="shared" si="4"/>
        <v>-23.273109667021615</v>
      </c>
      <c r="H26">
        <f t="shared" si="5"/>
        <v>-11.636554833510807</v>
      </c>
      <c r="I26">
        <f t="shared" si="6"/>
        <v>-172</v>
      </c>
      <c r="J26">
        <f t="shared" si="7"/>
        <v>190</v>
      </c>
      <c r="K26">
        <f t="shared" si="8"/>
        <v>411</v>
      </c>
      <c r="L26">
        <f t="shared" si="9"/>
        <v>180</v>
      </c>
    </row>
    <row r="27" spans="2:12" x14ac:dyDescent="0.15">
      <c r="B27">
        <v>23</v>
      </c>
      <c r="C27">
        <f t="shared" si="0"/>
        <v>2.408554367752175</v>
      </c>
      <c r="D27">
        <f t="shared" si="1"/>
        <v>0.66913060635885802</v>
      </c>
      <c r="E27">
        <f t="shared" si="2"/>
        <v>-0.74314482547739436</v>
      </c>
      <c r="F27">
        <f t="shared" si="3"/>
        <v>421.33400668443892</v>
      </c>
      <c r="G27">
        <f t="shared" si="4"/>
        <v>-1.7349719035274802</v>
      </c>
      <c r="H27">
        <f t="shared" si="5"/>
        <v>-0.8674859517637401</v>
      </c>
      <c r="I27">
        <f t="shared" si="6"/>
        <v>-191</v>
      </c>
      <c r="J27">
        <f t="shared" si="7"/>
        <v>171</v>
      </c>
      <c r="K27">
        <f t="shared" si="8"/>
        <v>421</v>
      </c>
      <c r="L27">
        <f t="shared" si="9"/>
        <v>191</v>
      </c>
    </row>
    <row r="28" spans="2:12" x14ac:dyDescent="0.15">
      <c r="B28">
        <v>24</v>
      </c>
      <c r="C28">
        <f t="shared" si="0"/>
        <v>2.5132741228718345</v>
      </c>
      <c r="D28">
        <f t="shared" si="1"/>
        <v>0.58778525229247325</v>
      </c>
      <c r="E28">
        <f t="shared" si="2"/>
        <v>-0.80901699437494734</v>
      </c>
      <c r="F28">
        <f t="shared" si="3"/>
        <v>428.72540599651177</v>
      </c>
      <c r="G28">
        <f t="shared" si="4"/>
        <v>20.698671316283921</v>
      </c>
      <c r="H28">
        <f t="shared" si="5"/>
        <v>10.34933565814196</v>
      </c>
      <c r="I28">
        <f t="shared" si="6"/>
        <v>-208</v>
      </c>
      <c r="J28">
        <f t="shared" si="7"/>
        <v>150</v>
      </c>
      <c r="K28">
        <f t="shared" si="8"/>
        <v>428</v>
      </c>
      <c r="L28">
        <f t="shared" si="9"/>
        <v>202</v>
      </c>
    </row>
    <row r="29" spans="2:12" x14ac:dyDescent="0.15">
      <c r="B29">
        <v>25</v>
      </c>
      <c r="C29">
        <f t="shared" si="0"/>
        <v>2.6179938779914944</v>
      </c>
      <c r="D29">
        <f t="shared" si="1"/>
        <v>0.49999999999999994</v>
      </c>
      <c r="E29">
        <f t="shared" si="2"/>
        <v>-0.86602540378443871</v>
      </c>
      <c r="F29">
        <f t="shared" si="3"/>
        <v>433.73136019851654</v>
      </c>
      <c r="G29">
        <f t="shared" si="4"/>
        <v>43.782032302755113</v>
      </c>
      <c r="H29">
        <f t="shared" si="5"/>
        <v>21.891016151377556</v>
      </c>
      <c r="I29">
        <f t="shared" si="6"/>
        <v>-222</v>
      </c>
      <c r="J29">
        <f t="shared" si="7"/>
        <v>128</v>
      </c>
      <c r="K29">
        <f t="shared" si="8"/>
        <v>433</v>
      </c>
      <c r="L29">
        <f t="shared" si="9"/>
        <v>213</v>
      </c>
    </row>
    <row r="30" spans="2:12" x14ac:dyDescent="0.15">
      <c r="B30">
        <v>26</v>
      </c>
      <c r="C30">
        <f t="shared" si="0"/>
        <v>2.7227136331111543</v>
      </c>
      <c r="D30">
        <f t="shared" si="1"/>
        <v>0.40673664307580004</v>
      </c>
      <c r="E30">
        <f t="shared" si="2"/>
        <v>-0.91354545764260098</v>
      </c>
      <c r="F30">
        <f t="shared" si="3"/>
        <v>436.29702300865279</v>
      </c>
      <c r="G30">
        <f t="shared" si="4"/>
        <v>67.26220492241427</v>
      </c>
      <c r="H30">
        <f t="shared" si="5"/>
        <v>33.631102461207135</v>
      </c>
      <c r="I30">
        <f t="shared" si="6"/>
        <v>-234</v>
      </c>
      <c r="J30">
        <f t="shared" si="7"/>
        <v>104</v>
      </c>
      <c r="K30">
        <f t="shared" si="8"/>
        <v>436</v>
      </c>
      <c r="L30">
        <f t="shared" si="9"/>
        <v>225</v>
      </c>
    </row>
    <row r="31" spans="2:12" x14ac:dyDescent="0.15">
      <c r="B31">
        <v>27</v>
      </c>
      <c r="C31">
        <f t="shared" si="0"/>
        <v>2.8274333882308138</v>
      </c>
      <c r="D31">
        <f t="shared" si="1"/>
        <v>0.30901699437494751</v>
      </c>
      <c r="E31">
        <f t="shared" si="2"/>
        <v>-0.95105651629515353</v>
      </c>
      <c r="F31">
        <f t="shared" si="3"/>
        <v>436.39428448827317</v>
      </c>
      <c r="G31">
        <f t="shared" si="4"/>
        <v>90.88193549049835</v>
      </c>
      <c r="H31">
        <f t="shared" si="5"/>
        <v>45.440967745249175</v>
      </c>
      <c r="I31">
        <f t="shared" si="6"/>
        <v>-244</v>
      </c>
      <c r="J31">
        <f t="shared" si="7"/>
        <v>79</v>
      </c>
      <c r="K31">
        <f t="shared" si="8"/>
        <v>436</v>
      </c>
      <c r="L31">
        <f t="shared" si="9"/>
        <v>237</v>
      </c>
    </row>
    <row r="32" spans="2:12" x14ac:dyDescent="0.15">
      <c r="B32">
        <v>28</v>
      </c>
      <c r="C32">
        <f t="shared" si="0"/>
        <v>2.9321531433504737</v>
      </c>
      <c r="D32">
        <f t="shared" si="1"/>
        <v>0.20791169081775931</v>
      </c>
      <c r="E32">
        <f t="shared" si="2"/>
        <v>-0.97814760073380569</v>
      </c>
      <c r="F32">
        <f t="shared" si="3"/>
        <v>434.02207902025378</v>
      </c>
      <c r="G32">
        <f t="shared" si="4"/>
        <v>114.38244129615724</v>
      </c>
      <c r="H32">
        <f t="shared" si="5"/>
        <v>57.19122064807862</v>
      </c>
      <c r="I32">
        <f t="shared" si="6"/>
        <v>-251</v>
      </c>
      <c r="J32">
        <f t="shared" si="7"/>
        <v>53</v>
      </c>
      <c r="K32">
        <f t="shared" si="8"/>
        <v>434</v>
      </c>
      <c r="L32">
        <f t="shared" si="9"/>
        <v>249</v>
      </c>
    </row>
    <row r="33" spans="2:12" x14ac:dyDescent="0.15">
      <c r="B33">
        <v>29</v>
      </c>
      <c r="C33">
        <f t="shared" si="0"/>
        <v>3.0368728984701332</v>
      </c>
      <c r="D33">
        <f t="shared" si="1"/>
        <v>0.10452846326765373</v>
      </c>
      <c r="E33">
        <f t="shared" si="2"/>
        <v>-0.99452189536827329</v>
      </c>
      <c r="F33">
        <f t="shared" si="3"/>
        <v>429.20639698411793</v>
      </c>
      <c r="G33">
        <f t="shared" si="4"/>
        <v>137.50624587998692</v>
      </c>
      <c r="H33">
        <f t="shared" si="5"/>
        <v>68.75312293999346</v>
      </c>
      <c r="I33">
        <f t="shared" si="6"/>
        <v>-255</v>
      </c>
      <c r="J33">
        <f t="shared" si="7"/>
        <v>26</v>
      </c>
      <c r="K33">
        <f t="shared" si="8"/>
        <v>429</v>
      </c>
      <c r="L33">
        <f t="shared" si="9"/>
        <v>260</v>
      </c>
    </row>
    <row r="34" spans="2:12" x14ac:dyDescent="0.15">
      <c r="B34">
        <v>30</v>
      </c>
      <c r="C34">
        <f t="shared" si="0"/>
        <v>3.1415926535897931</v>
      </c>
      <c r="D34">
        <f t="shared" si="1"/>
        <v>1.22514845490862E-16</v>
      </c>
      <c r="E34">
        <f t="shared" si="2"/>
        <v>-1</v>
      </c>
      <c r="F34">
        <f t="shared" si="3"/>
        <v>422</v>
      </c>
      <c r="G34">
        <f t="shared" si="4"/>
        <v>159.99999999999997</v>
      </c>
      <c r="H34">
        <f t="shared" si="5"/>
        <v>79.999999999999986</v>
      </c>
      <c r="I34">
        <f t="shared" si="6"/>
        <v>-256</v>
      </c>
      <c r="J34">
        <f t="shared" si="7"/>
        <v>0</v>
      </c>
      <c r="K34">
        <f t="shared" si="8"/>
        <v>422</v>
      </c>
      <c r="L34">
        <f t="shared" si="9"/>
        <v>272</v>
      </c>
    </row>
    <row r="35" spans="2:12" x14ac:dyDescent="0.15">
      <c r="B35">
        <v>31</v>
      </c>
      <c r="C35">
        <f t="shared" si="0"/>
        <v>3.246312408709453</v>
      </c>
      <c r="D35">
        <f t="shared" si="1"/>
        <v>-0.1045284632676535</v>
      </c>
      <c r="E35">
        <f t="shared" si="2"/>
        <v>-0.99452189536827329</v>
      </c>
      <c r="F35">
        <f t="shared" si="3"/>
        <v>412.48184286129339</v>
      </c>
      <c r="G35">
        <f t="shared" si="4"/>
        <v>181.61725737893676</v>
      </c>
      <c r="H35">
        <f t="shared" si="5"/>
        <v>90.808628689468378</v>
      </c>
      <c r="I35">
        <f t="shared" si="6"/>
        <v>-255</v>
      </c>
      <c r="J35">
        <f t="shared" si="7"/>
        <v>-27</v>
      </c>
      <c r="K35">
        <f t="shared" si="8"/>
        <v>412</v>
      </c>
      <c r="L35">
        <f t="shared" si="9"/>
        <v>282</v>
      </c>
    </row>
    <row r="36" spans="2:12" x14ac:dyDescent="0.15">
      <c r="B36">
        <v>32</v>
      </c>
      <c r="C36">
        <f t="shared" si="0"/>
        <v>3.3510321638291125</v>
      </c>
      <c r="D36">
        <f t="shared" si="1"/>
        <v>-0.20791169081775907</v>
      </c>
      <c r="E36">
        <f t="shared" si="2"/>
        <v>-0.97814760073380569</v>
      </c>
      <c r="F36">
        <f t="shared" si="3"/>
        <v>400.7562084894123</v>
      </c>
      <c r="G36">
        <f t="shared" si="4"/>
        <v>202.12117482125163</v>
      </c>
      <c r="H36">
        <f t="shared" si="5"/>
        <v>101.06058741062581</v>
      </c>
      <c r="I36">
        <f t="shared" si="6"/>
        <v>-251</v>
      </c>
      <c r="J36">
        <f t="shared" si="7"/>
        <v>-54</v>
      </c>
      <c r="K36">
        <f t="shared" si="8"/>
        <v>400</v>
      </c>
      <c r="L36">
        <f t="shared" si="9"/>
        <v>293</v>
      </c>
    </row>
    <row r="37" spans="2:12" x14ac:dyDescent="0.15">
      <c r="B37">
        <v>33</v>
      </c>
      <c r="C37">
        <f t="shared" si="0"/>
        <v>3.4557519189487729</v>
      </c>
      <c r="D37">
        <f t="shared" si="1"/>
        <v>-0.30901699437494773</v>
      </c>
      <c r="E37">
        <f t="shared" si="2"/>
        <v>-0.95105651629515353</v>
      </c>
      <c r="F37">
        <f t="shared" si="3"/>
        <v>386.95156538828155</v>
      </c>
      <c r="G37">
        <f t="shared" si="4"/>
        <v>221.28710711672625</v>
      </c>
      <c r="H37">
        <f t="shared" si="5"/>
        <v>110.64355355836312</v>
      </c>
      <c r="I37">
        <f t="shared" si="6"/>
        <v>-244</v>
      </c>
      <c r="J37">
        <f t="shared" si="7"/>
        <v>-80</v>
      </c>
      <c r="K37">
        <f t="shared" si="8"/>
        <v>386</v>
      </c>
      <c r="L37">
        <f t="shared" si="9"/>
        <v>302</v>
      </c>
    </row>
    <row r="38" spans="2:12" x14ac:dyDescent="0.15">
      <c r="B38">
        <v>34</v>
      </c>
      <c r="C38">
        <f t="shared" si="0"/>
        <v>3.5604716740684319</v>
      </c>
      <c r="D38">
        <f t="shared" si="1"/>
        <v>-0.40673664307579982</v>
      </c>
      <c r="E38">
        <f t="shared" si="2"/>
        <v>-0.91354545764260109</v>
      </c>
      <c r="F38">
        <f t="shared" si="3"/>
        <v>371.21916011652479</v>
      </c>
      <c r="G38">
        <f t="shared" si="4"/>
        <v>238.90506830040184</v>
      </c>
      <c r="H38">
        <f t="shared" si="5"/>
        <v>119.45253415020092</v>
      </c>
      <c r="I38">
        <f t="shared" si="6"/>
        <v>-234</v>
      </c>
      <c r="J38">
        <f t="shared" si="7"/>
        <v>-105</v>
      </c>
      <c r="K38">
        <f t="shared" si="8"/>
        <v>371</v>
      </c>
      <c r="L38">
        <f t="shared" si="9"/>
        <v>311</v>
      </c>
    </row>
    <row r="39" spans="2:12" x14ac:dyDescent="0.15">
      <c r="B39">
        <v>35</v>
      </c>
      <c r="C39">
        <f t="shared" si="0"/>
        <v>3.6651914291880923</v>
      </c>
      <c r="D39">
        <f t="shared" si="1"/>
        <v>-0.50000000000000011</v>
      </c>
      <c r="E39">
        <f t="shared" si="2"/>
        <v>-0.8660254037844386</v>
      </c>
      <c r="F39">
        <f t="shared" si="3"/>
        <v>353.73136019851654</v>
      </c>
      <c r="G39">
        <f t="shared" si="4"/>
        <v>254.78203230275511</v>
      </c>
      <c r="H39">
        <f t="shared" si="5"/>
        <v>127.39101615137756</v>
      </c>
      <c r="I39">
        <f t="shared" si="6"/>
        <v>-222</v>
      </c>
      <c r="J39">
        <f t="shared" si="7"/>
        <v>-128</v>
      </c>
      <c r="K39">
        <f t="shared" si="8"/>
        <v>353</v>
      </c>
      <c r="L39">
        <f t="shared" si="9"/>
        <v>319</v>
      </c>
    </row>
    <row r="40" spans="2:12" x14ac:dyDescent="0.15">
      <c r="B40">
        <v>36</v>
      </c>
      <c r="C40">
        <f t="shared" si="0"/>
        <v>3.7699111843077517</v>
      </c>
      <c r="D40">
        <f t="shared" si="1"/>
        <v>-0.58778525229247303</v>
      </c>
      <c r="E40">
        <f t="shared" si="2"/>
        <v>-0.80901699437494756</v>
      </c>
      <c r="F40">
        <f t="shared" si="3"/>
        <v>334.67976562971614</v>
      </c>
      <c r="G40">
        <f t="shared" si="4"/>
        <v>268.74404778370763</v>
      </c>
      <c r="H40">
        <f t="shared" si="5"/>
        <v>134.37202389185381</v>
      </c>
      <c r="I40">
        <f t="shared" si="6"/>
        <v>-208</v>
      </c>
      <c r="J40">
        <f t="shared" si="7"/>
        <v>-151</v>
      </c>
      <c r="K40">
        <f t="shared" si="8"/>
        <v>334</v>
      </c>
      <c r="L40">
        <f t="shared" si="9"/>
        <v>326</v>
      </c>
    </row>
    <row r="41" spans="2:12" x14ac:dyDescent="0.15">
      <c r="B41">
        <v>37</v>
      </c>
      <c r="C41">
        <f t="shared" si="0"/>
        <v>3.8746309394274117</v>
      </c>
      <c r="D41">
        <f t="shared" si="1"/>
        <v>-0.66913060635885824</v>
      </c>
      <c r="E41">
        <f t="shared" si="2"/>
        <v>-0.74314482547739424</v>
      </c>
      <c r="F41">
        <f t="shared" si="3"/>
        <v>314.27310966702152</v>
      </c>
      <c r="G41">
        <f t="shared" si="4"/>
        <v>280.63814397991064</v>
      </c>
      <c r="H41">
        <f t="shared" si="5"/>
        <v>140.31907198995532</v>
      </c>
      <c r="I41">
        <f t="shared" si="6"/>
        <v>-191</v>
      </c>
      <c r="J41">
        <f t="shared" si="7"/>
        <v>-172</v>
      </c>
      <c r="K41">
        <f t="shared" si="8"/>
        <v>314</v>
      </c>
      <c r="L41">
        <f t="shared" si="9"/>
        <v>332</v>
      </c>
    </row>
    <row r="42" spans="2:12" x14ac:dyDescent="0.15">
      <c r="B42">
        <v>38</v>
      </c>
      <c r="C42">
        <f t="shared" si="0"/>
        <v>3.9793506945470711</v>
      </c>
      <c r="D42">
        <f t="shared" si="1"/>
        <v>-0.74314482547739402</v>
      </c>
      <c r="E42">
        <f t="shared" si="2"/>
        <v>-0.66913060635885846</v>
      </c>
      <c r="F42">
        <f t="shared" si="3"/>
        <v>292.73497190352759</v>
      </c>
      <c r="G42">
        <f t="shared" si="4"/>
        <v>290.3340066844388</v>
      </c>
      <c r="H42">
        <f t="shared" si="5"/>
        <v>145.1670033422194</v>
      </c>
      <c r="I42">
        <f t="shared" si="6"/>
        <v>-172</v>
      </c>
      <c r="J42">
        <f t="shared" si="7"/>
        <v>-191</v>
      </c>
      <c r="K42">
        <f t="shared" si="8"/>
        <v>292</v>
      </c>
      <c r="L42">
        <f t="shared" si="9"/>
        <v>337</v>
      </c>
    </row>
    <row r="43" spans="2:12" x14ac:dyDescent="0.15">
      <c r="B43">
        <v>39</v>
      </c>
      <c r="C43">
        <f t="shared" si="0"/>
        <v>4.0840704496667311</v>
      </c>
      <c r="D43">
        <f t="shared" si="1"/>
        <v>-0.80901699437494734</v>
      </c>
      <c r="E43">
        <f t="shared" si="2"/>
        <v>-0.58778525229247325</v>
      </c>
      <c r="F43">
        <f t="shared" si="3"/>
        <v>270.30132868371606</v>
      </c>
      <c r="G43">
        <f t="shared" si="4"/>
        <v>297.72540599651177</v>
      </c>
      <c r="H43">
        <f t="shared" si="5"/>
        <v>148.86270299825588</v>
      </c>
      <c r="I43">
        <f t="shared" si="6"/>
        <v>-151</v>
      </c>
      <c r="J43">
        <f t="shared" si="7"/>
        <v>-208</v>
      </c>
      <c r="K43">
        <f t="shared" si="8"/>
        <v>270</v>
      </c>
      <c r="L43">
        <f t="shared" si="9"/>
        <v>340</v>
      </c>
    </row>
    <row r="44" spans="2:12" x14ac:dyDescent="0.15">
      <c r="B44">
        <v>40</v>
      </c>
      <c r="C44">
        <f t="shared" si="0"/>
        <v>4.1887902047863905</v>
      </c>
      <c r="D44">
        <f t="shared" si="1"/>
        <v>-0.86602540378443837</v>
      </c>
      <c r="E44">
        <f t="shared" si="2"/>
        <v>-0.50000000000000044</v>
      </c>
      <c r="F44">
        <f t="shared" si="3"/>
        <v>247.21796769724506</v>
      </c>
      <c r="G44">
        <f t="shared" si="4"/>
        <v>302.73136019851654</v>
      </c>
      <c r="H44">
        <f t="shared" si="5"/>
        <v>151.36568009925827</v>
      </c>
      <c r="I44">
        <f t="shared" si="6"/>
        <v>-128</v>
      </c>
      <c r="J44">
        <f t="shared" si="7"/>
        <v>-222</v>
      </c>
      <c r="K44">
        <f t="shared" si="8"/>
        <v>247</v>
      </c>
      <c r="L44">
        <f t="shared" si="9"/>
        <v>343</v>
      </c>
    </row>
    <row r="45" spans="2:12" x14ac:dyDescent="0.15">
      <c r="B45">
        <v>41</v>
      </c>
      <c r="C45">
        <f t="shared" si="0"/>
        <v>4.2935099599060509</v>
      </c>
      <c r="D45">
        <f t="shared" si="1"/>
        <v>-0.91354545764260098</v>
      </c>
      <c r="E45">
        <f t="shared" si="2"/>
        <v>-0.4067366430758001</v>
      </c>
      <c r="F45">
        <f t="shared" si="3"/>
        <v>223.73779507758573</v>
      </c>
      <c r="G45">
        <f t="shared" si="4"/>
        <v>305.29702300865279</v>
      </c>
      <c r="H45">
        <f t="shared" si="5"/>
        <v>152.64851150432639</v>
      </c>
      <c r="I45">
        <f t="shared" si="6"/>
        <v>-105</v>
      </c>
      <c r="J45">
        <f t="shared" si="7"/>
        <v>-234</v>
      </c>
      <c r="K45">
        <f t="shared" si="8"/>
        <v>223</v>
      </c>
      <c r="L45">
        <f t="shared" si="9"/>
        <v>344</v>
      </c>
    </row>
    <row r="46" spans="2:12" x14ac:dyDescent="0.15">
      <c r="B46">
        <v>42</v>
      </c>
      <c r="C46">
        <f t="shared" si="0"/>
        <v>4.3982297150257104</v>
      </c>
      <c r="D46">
        <f t="shared" si="1"/>
        <v>-0.95105651629515353</v>
      </c>
      <c r="E46">
        <f t="shared" si="2"/>
        <v>-0.30901699437494756</v>
      </c>
      <c r="F46">
        <f t="shared" si="3"/>
        <v>200.11806450950166</v>
      </c>
      <c r="G46">
        <f t="shared" si="4"/>
        <v>305.39428448827317</v>
      </c>
      <c r="H46">
        <f t="shared" si="5"/>
        <v>152.69714224413659</v>
      </c>
      <c r="I46">
        <f t="shared" si="6"/>
        <v>-80</v>
      </c>
      <c r="J46">
        <f t="shared" si="7"/>
        <v>-244</v>
      </c>
      <c r="K46">
        <f t="shared" si="8"/>
        <v>200</v>
      </c>
      <c r="L46">
        <f t="shared" si="9"/>
        <v>344</v>
      </c>
    </row>
    <row r="47" spans="2:12" x14ac:dyDescent="0.15">
      <c r="B47">
        <v>43</v>
      </c>
      <c r="C47">
        <f t="shared" si="0"/>
        <v>4.5029494701453698</v>
      </c>
      <c r="D47">
        <f t="shared" si="1"/>
        <v>-0.97814760073380558</v>
      </c>
      <c r="E47">
        <f t="shared" si="2"/>
        <v>-0.20791169081775979</v>
      </c>
      <c r="F47">
        <f t="shared" si="3"/>
        <v>176.61755870384286</v>
      </c>
      <c r="G47">
        <f t="shared" si="4"/>
        <v>303.02207902025373</v>
      </c>
      <c r="H47">
        <f t="shared" si="5"/>
        <v>151.51103951012686</v>
      </c>
      <c r="I47">
        <f t="shared" si="6"/>
        <v>-54</v>
      </c>
      <c r="J47">
        <f t="shared" si="7"/>
        <v>-251</v>
      </c>
      <c r="K47">
        <f t="shared" si="8"/>
        <v>176</v>
      </c>
      <c r="L47">
        <f t="shared" si="9"/>
        <v>343</v>
      </c>
    </row>
    <row r="48" spans="2:12" x14ac:dyDescent="0.15">
      <c r="B48">
        <v>44</v>
      </c>
      <c r="C48">
        <f t="shared" si="0"/>
        <v>4.6076692252650293</v>
      </c>
      <c r="D48">
        <f t="shared" si="1"/>
        <v>-0.99452189536827329</v>
      </c>
      <c r="E48">
        <f t="shared" si="2"/>
        <v>-0.10452846326765423</v>
      </c>
      <c r="F48">
        <f t="shared" si="3"/>
        <v>153.49375412001316</v>
      </c>
      <c r="G48">
        <f t="shared" si="4"/>
        <v>298.20639698411799</v>
      </c>
      <c r="H48">
        <f t="shared" si="5"/>
        <v>149.10319849205899</v>
      </c>
      <c r="I48">
        <f t="shared" si="6"/>
        <v>-27</v>
      </c>
      <c r="J48">
        <f t="shared" si="7"/>
        <v>-255</v>
      </c>
      <c r="K48">
        <f t="shared" si="8"/>
        <v>153</v>
      </c>
      <c r="L48">
        <f t="shared" si="9"/>
        <v>341</v>
      </c>
    </row>
    <row r="49" spans="2:12" x14ac:dyDescent="0.15">
      <c r="B49">
        <v>45</v>
      </c>
      <c r="C49">
        <f t="shared" si="0"/>
        <v>4.7123889803846897</v>
      </c>
      <c r="D49">
        <f t="shared" si="1"/>
        <v>-1</v>
      </c>
      <c r="E49">
        <f t="shared" si="2"/>
        <v>-1.83772268236293E-16</v>
      </c>
      <c r="F49">
        <f t="shared" si="3"/>
        <v>131.00000000000003</v>
      </c>
      <c r="G49">
        <f t="shared" si="4"/>
        <v>291</v>
      </c>
      <c r="H49">
        <f t="shared" si="5"/>
        <v>145.5</v>
      </c>
      <c r="I49">
        <f t="shared" si="6"/>
        <v>-1</v>
      </c>
      <c r="J49">
        <f t="shared" si="7"/>
        <v>-256</v>
      </c>
      <c r="K49">
        <f t="shared" si="8"/>
        <v>131</v>
      </c>
      <c r="L49">
        <f t="shared" si="9"/>
        <v>337</v>
      </c>
    </row>
    <row r="50" spans="2:12" x14ac:dyDescent="0.15">
      <c r="B50">
        <v>46</v>
      </c>
      <c r="C50">
        <f t="shared" si="0"/>
        <v>4.81710873550435</v>
      </c>
      <c r="D50">
        <f t="shared" si="1"/>
        <v>-0.99452189536827329</v>
      </c>
      <c r="E50">
        <f t="shared" si="2"/>
        <v>0.10452846326765387</v>
      </c>
      <c r="F50">
        <f t="shared" si="3"/>
        <v>109.38274262106316</v>
      </c>
      <c r="G50">
        <f t="shared" si="4"/>
        <v>281.48184286129333</v>
      </c>
      <c r="H50">
        <f t="shared" si="5"/>
        <v>140.74092143064667</v>
      </c>
      <c r="I50">
        <f t="shared" si="6"/>
        <v>26</v>
      </c>
      <c r="J50">
        <f t="shared" si="7"/>
        <v>-255</v>
      </c>
      <c r="K50">
        <f t="shared" si="8"/>
        <v>109</v>
      </c>
      <c r="L50">
        <f t="shared" si="9"/>
        <v>332</v>
      </c>
    </row>
    <row r="51" spans="2:12" x14ac:dyDescent="0.15">
      <c r="B51">
        <v>47</v>
      </c>
      <c r="C51">
        <f t="shared" si="0"/>
        <v>4.9218284906240095</v>
      </c>
      <c r="D51">
        <f t="shared" si="1"/>
        <v>-0.97814760073380558</v>
      </c>
      <c r="E51">
        <f t="shared" si="2"/>
        <v>0.20791169081775943</v>
      </c>
      <c r="F51">
        <f t="shared" si="3"/>
        <v>88.878825178748329</v>
      </c>
      <c r="G51">
        <f t="shared" si="4"/>
        <v>269.75620848941219</v>
      </c>
      <c r="H51">
        <f t="shared" si="5"/>
        <v>134.87810424470609</v>
      </c>
      <c r="I51">
        <f t="shared" si="6"/>
        <v>53</v>
      </c>
      <c r="J51">
        <f t="shared" si="7"/>
        <v>-251</v>
      </c>
      <c r="K51">
        <f t="shared" si="8"/>
        <v>88</v>
      </c>
      <c r="L51">
        <f t="shared" si="9"/>
        <v>326</v>
      </c>
    </row>
    <row r="52" spans="2:12" x14ac:dyDescent="0.15">
      <c r="B52">
        <v>48</v>
      </c>
      <c r="C52">
        <f t="shared" si="0"/>
        <v>5.026548245743669</v>
      </c>
      <c r="D52">
        <f t="shared" si="1"/>
        <v>-0.95105651629515364</v>
      </c>
      <c r="E52">
        <f t="shared" si="2"/>
        <v>0.30901699437494723</v>
      </c>
      <c r="F52">
        <f t="shared" si="3"/>
        <v>69.712892883273838</v>
      </c>
      <c r="G52">
        <f t="shared" si="4"/>
        <v>255.95156538828167</v>
      </c>
      <c r="H52">
        <f t="shared" si="5"/>
        <v>127.97578269414083</v>
      </c>
      <c r="I52">
        <f t="shared" si="6"/>
        <v>79</v>
      </c>
      <c r="J52">
        <f t="shared" si="7"/>
        <v>-244</v>
      </c>
      <c r="K52">
        <f t="shared" si="8"/>
        <v>69</v>
      </c>
      <c r="L52">
        <f t="shared" si="9"/>
        <v>319</v>
      </c>
    </row>
    <row r="53" spans="2:12" x14ac:dyDescent="0.15">
      <c r="B53">
        <v>49</v>
      </c>
      <c r="C53">
        <f t="shared" si="0"/>
        <v>5.1312680008633285</v>
      </c>
      <c r="D53">
        <f t="shared" si="1"/>
        <v>-0.91354545764260109</v>
      </c>
      <c r="E53">
        <f t="shared" si="2"/>
        <v>0.40673664307579976</v>
      </c>
      <c r="F53">
        <f t="shared" si="3"/>
        <v>52.094931699598163</v>
      </c>
      <c r="G53">
        <f t="shared" si="4"/>
        <v>240.21916011652479</v>
      </c>
      <c r="H53">
        <f t="shared" si="5"/>
        <v>120.1095800582624</v>
      </c>
      <c r="I53">
        <f t="shared" si="6"/>
        <v>104</v>
      </c>
      <c r="J53">
        <f t="shared" si="7"/>
        <v>-234</v>
      </c>
      <c r="K53">
        <f t="shared" si="8"/>
        <v>52</v>
      </c>
      <c r="L53">
        <f t="shared" si="9"/>
        <v>312</v>
      </c>
    </row>
    <row r="54" spans="2:12" x14ac:dyDescent="0.15">
      <c r="B54">
        <v>50</v>
      </c>
      <c r="C54">
        <f t="shared" si="0"/>
        <v>5.2359877559829888</v>
      </c>
      <c r="D54">
        <f t="shared" si="1"/>
        <v>-0.8660254037844386</v>
      </c>
      <c r="E54">
        <f t="shared" si="2"/>
        <v>0.50000000000000011</v>
      </c>
      <c r="F54">
        <f t="shared" si="3"/>
        <v>36.217967697244887</v>
      </c>
      <c r="G54">
        <f t="shared" si="4"/>
        <v>222.73136019851654</v>
      </c>
      <c r="H54">
        <f t="shared" si="5"/>
        <v>111.36568009925827</v>
      </c>
      <c r="I54">
        <f t="shared" si="6"/>
        <v>128</v>
      </c>
      <c r="J54">
        <f t="shared" si="7"/>
        <v>-222</v>
      </c>
      <c r="K54">
        <f t="shared" si="8"/>
        <v>36</v>
      </c>
      <c r="L54">
        <f t="shared" si="9"/>
        <v>303</v>
      </c>
    </row>
    <row r="55" spans="2:12" x14ac:dyDescent="0.15">
      <c r="B55">
        <v>51</v>
      </c>
      <c r="C55">
        <f t="shared" si="0"/>
        <v>5.3407075111026483</v>
      </c>
      <c r="D55">
        <f t="shared" si="1"/>
        <v>-0.80901699437494756</v>
      </c>
      <c r="E55">
        <f t="shared" si="2"/>
        <v>0.58778525229247292</v>
      </c>
      <c r="F55">
        <f t="shared" si="3"/>
        <v>22.2559522162924</v>
      </c>
      <c r="G55">
        <f t="shared" si="4"/>
        <v>203.67976562971609</v>
      </c>
      <c r="H55">
        <f t="shared" si="5"/>
        <v>101.83988281485804</v>
      </c>
      <c r="I55">
        <f t="shared" si="6"/>
        <v>150</v>
      </c>
      <c r="J55">
        <f t="shared" si="7"/>
        <v>-208</v>
      </c>
      <c r="K55">
        <f t="shared" si="8"/>
        <v>22</v>
      </c>
      <c r="L55">
        <f t="shared" si="9"/>
        <v>293</v>
      </c>
    </row>
    <row r="56" spans="2:12" x14ac:dyDescent="0.15">
      <c r="B56">
        <v>52</v>
      </c>
      <c r="C56">
        <f t="shared" si="0"/>
        <v>5.4454272662223087</v>
      </c>
      <c r="D56">
        <f t="shared" si="1"/>
        <v>-0.74314482547739402</v>
      </c>
      <c r="E56">
        <f t="shared" si="2"/>
        <v>0.66913060635885846</v>
      </c>
      <c r="F56">
        <f t="shared" si="3"/>
        <v>10.361856020089334</v>
      </c>
      <c r="G56">
        <f t="shared" si="4"/>
        <v>183.27310966702146</v>
      </c>
      <c r="H56">
        <f t="shared" si="5"/>
        <v>91.636554833510729</v>
      </c>
      <c r="I56">
        <f t="shared" si="6"/>
        <v>171</v>
      </c>
      <c r="J56">
        <f t="shared" si="7"/>
        <v>-191</v>
      </c>
      <c r="K56">
        <f t="shared" si="8"/>
        <v>10</v>
      </c>
      <c r="L56">
        <f t="shared" si="9"/>
        <v>283</v>
      </c>
    </row>
    <row r="57" spans="2:12" x14ac:dyDescent="0.15">
      <c r="B57">
        <v>53</v>
      </c>
      <c r="C57">
        <f t="shared" si="0"/>
        <v>5.5501470213419672</v>
      </c>
      <c r="D57">
        <f t="shared" si="1"/>
        <v>-0.66913060635885879</v>
      </c>
      <c r="E57">
        <f t="shared" si="2"/>
        <v>0.74314482547739369</v>
      </c>
      <c r="F57">
        <f t="shared" si="3"/>
        <v>0.66599331556122365</v>
      </c>
      <c r="G57">
        <f t="shared" si="4"/>
        <v>161.73497190352771</v>
      </c>
      <c r="H57">
        <f t="shared" si="5"/>
        <v>80.867485951763854</v>
      </c>
      <c r="I57">
        <f t="shared" si="6"/>
        <v>190</v>
      </c>
      <c r="J57">
        <f t="shared" si="7"/>
        <v>-172</v>
      </c>
      <c r="K57">
        <f t="shared" si="8"/>
        <v>0</v>
      </c>
      <c r="L57">
        <f t="shared" si="9"/>
        <v>272</v>
      </c>
    </row>
    <row r="58" spans="2:12" x14ac:dyDescent="0.15">
      <c r="B58">
        <v>54</v>
      </c>
      <c r="C58">
        <f t="shared" si="0"/>
        <v>5.6548667764616276</v>
      </c>
      <c r="D58">
        <f t="shared" si="1"/>
        <v>-0.58778525229247336</v>
      </c>
      <c r="E58">
        <f t="shared" si="2"/>
        <v>0.80901699437494734</v>
      </c>
      <c r="F58">
        <f t="shared" si="3"/>
        <v>-6.7254059965117676</v>
      </c>
      <c r="G58">
        <f t="shared" si="4"/>
        <v>139.30132868371609</v>
      </c>
      <c r="H58">
        <f t="shared" si="5"/>
        <v>69.650664341858047</v>
      </c>
      <c r="I58">
        <f t="shared" si="6"/>
        <v>207</v>
      </c>
      <c r="J58">
        <f t="shared" si="7"/>
        <v>-151</v>
      </c>
      <c r="K58">
        <f t="shared" si="8"/>
        <v>-7</v>
      </c>
      <c r="L58">
        <f t="shared" si="9"/>
        <v>261</v>
      </c>
    </row>
    <row r="59" spans="2:12" x14ac:dyDescent="0.15">
      <c r="B59">
        <v>55</v>
      </c>
      <c r="C59">
        <f t="shared" si="0"/>
        <v>5.7595865315812871</v>
      </c>
      <c r="D59">
        <f t="shared" si="1"/>
        <v>-0.50000000000000044</v>
      </c>
      <c r="E59">
        <f t="shared" si="2"/>
        <v>0.86602540378443837</v>
      </c>
      <c r="F59">
        <f t="shared" si="3"/>
        <v>-11.731360198516519</v>
      </c>
      <c r="G59">
        <f t="shared" si="4"/>
        <v>116.21796769724504</v>
      </c>
      <c r="H59">
        <f t="shared" si="5"/>
        <v>58.108983848622522</v>
      </c>
      <c r="I59">
        <f t="shared" si="6"/>
        <v>221</v>
      </c>
      <c r="J59">
        <f t="shared" si="7"/>
        <v>-128</v>
      </c>
      <c r="K59">
        <f t="shared" si="8"/>
        <v>-12</v>
      </c>
      <c r="L59">
        <f t="shared" si="9"/>
        <v>250</v>
      </c>
    </row>
    <row r="60" spans="2:12" x14ac:dyDescent="0.15">
      <c r="B60">
        <v>56</v>
      </c>
      <c r="C60">
        <f t="shared" si="0"/>
        <v>5.8643062867009474</v>
      </c>
      <c r="D60">
        <f t="shared" si="1"/>
        <v>-0.40673664307580015</v>
      </c>
      <c r="E60">
        <f t="shared" si="2"/>
        <v>0.91354545764260098</v>
      </c>
      <c r="F60">
        <f t="shared" si="3"/>
        <v>-14.297023008652829</v>
      </c>
      <c r="G60">
        <f t="shared" si="4"/>
        <v>92.73779507758573</v>
      </c>
      <c r="H60">
        <f t="shared" si="5"/>
        <v>46.368897538792865</v>
      </c>
      <c r="I60">
        <f t="shared" si="6"/>
        <v>233</v>
      </c>
      <c r="J60">
        <f t="shared" si="7"/>
        <v>-105</v>
      </c>
      <c r="K60">
        <f t="shared" si="8"/>
        <v>-15</v>
      </c>
      <c r="L60">
        <f t="shared" si="9"/>
        <v>238</v>
      </c>
    </row>
    <row r="61" spans="2:12" x14ac:dyDescent="0.15">
      <c r="B61">
        <v>57</v>
      </c>
      <c r="C61">
        <f t="shared" si="0"/>
        <v>5.9690260418206069</v>
      </c>
      <c r="D61">
        <f t="shared" si="1"/>
        <v>-0.30901699437494762</v>
      </c>
      <c r="E61">
        <f t="shared" si="2"/>
        <v>0.95105651629515353</v>
      </c>
      <c r="F61">
        <f t="shared" si="3"/>
        <v>-14.3942844882732</v>
      </c>
      <c r="G61">
        <f t="shared" si="4"/>
        <v>69.118064509501679</v>
      </c>
      <c r="H61">
        <f t="shared" si="5"/>
        <v>34.559032254750839</v>
      </c>
      <c r="I61">
        <f t="shared" si="6"/>
        <v>243</v>
      </c>
      <c r="J61">
        <f t="shared" si="7"/>
        <v>-80</v>
      </c>
      <c r="K61">
        <f t="shared" si="8"/>
        <v>-15</v>
      </c>
      <c r="L61">
        <f t="shared" si="9"/>
        <v>226</v>
      </c>
    </row>
    <row r="62" spans="2:12" x14ac:dyDescent="0.15">
      <c r="B62">
        <v>58</v>
      </c>
      <c r="C62">
        <f t="shared" si="0"/>
        <v>6.0737457969402664</v>
      </c>
      <c r="D62">
        <f t="shared" si="1"/>
        <v>-0.20791169081775987</v>
      </c>
      <c r="E62">
        <f t="shared" si="2"/>
        <v>0.97814760073380558</v>
      </c>
      <c r="F62">
        <f t="shared" si="3"/>
        <v>-12.022079020253777</v>
      </c>
      <c r="G62">
        <f t="shared" si="4"/>
        <v>45.617558703842889</v>
      </c>
      <c r="H62">
        <f t="shared" si="5"/>
        <v>22.808779351921444</v>
      </c>
      <c r="I62">
        <f t="shared" si="6"/>
        <v>250</v>
      </c>
      <c r="J62">
        <f t="shared" si="7"/>
        <v>-54</v>
      </c>
      <c r="K62">
        <f t="shared" si="8"/>
        <v>-13</v>
      </c>
      <c r="L62">
        <f t="shared" si="9"/>
        <v>214</v>
      </c>
    </row>
    <row r="63" spans="2:12" x14ac:dyDescent="0.15">
      <c r="B63">
        <v>59</v>
      </c>
      <c r="C63">
        <f t="shared" si="0"/>
        <v>6.1784655520599259</v>
      </c>
      <c r="D63">
        <f t="shared" si="1"/>
        <v>-0.1045284632676543</v>
      </c>
      <c r="E63">
        <f t="shared" si="2"/>
        <v>0.99452189536827329</v>
      </c>
      <c r="F63">
        <f t="shared" si="3"/>
        <v>-7.2063969841180029</v>
      </c>
      <c r="G63">
        <f t="shared" si="4"/>
        <v>22.493754120013193</v>
      </c>
      <c r="H63">
        <f t="shared" si="5"/>
        <v>11.246877060006597</v>
      </c>
      <c r="I63">
        <f t="shared" si="6"/>
        <v>254</v>
      </c>
      <c r="J63">
        <f t="shared" si="7"/>
        <v>-27</v>
      </c>
      <c r="K63">
        <f t="shared" si="8"/>
        <v>-8</v>
      </c>
      <c r="L63">
        <f t="shared" si="9"/>
        <v>203</v>
      </c>
    </row>
    <row r="64" spans="2:12" x14ac:dyDescent="0.15">
      <c r="B64">
        <v>60</v>
      </c>
      <c r="C64">
        <f t="shared" si="0"/>
        <v>6.2831853071795862</v>
      </c>
      <c r="D64">
        <f t="shared" si="1"/>
        <v>-2.45029690981724E-16</v>
      </c>
      <c r="E64">
        <f t="shared" si="2"/>
        <v>1</v>
      </c>
      <c r="F64">
        <f t="shared" si="3"/>
        <v>-1.960237527853792E-14</v>
      </c>
      <c r="G64">
        <f t="shared" si="4"/>
        <v>0</v>
      </c>
      <c r="H64">
        <f t="shared" si="5"/>
        <v>0</v>
      </c>
      <c r="I64">
        <f t="shared" si="6"/>
        <v>256</v>
      </c>
      <c r="J64">
        <f t="shared" si="7"/>
        <v>-1</v>
      </c>
      <c r="K64">
        <f t="shared" si="8"/>
        <v>-1</v>
      </c>
      <c r="L64">
        <f t="shared" si="9"/>
        <v>192</v>
      </c>
    </row>
  </sheetData>
  <phoneticPr fontId="1"/>
  <pageMargins left="0.7" right="0.7" top="0.75" bottom="0.75" header="0.3" footer="0.3"/>
  <pageSetup paperSize="9" orientation="portrait" horizontalDpi="4294967293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2</vt:i4>
      </vt:variant>
    </vt:vector>
  </HeadingPairs>
  <TitlesOfParts>
    <vt:vector size="2" baseType="lpstr">
      <vt:lpstr>LOGO3</vt:lpstr>
      <vt:lpstr>ROTATE</vt:lpstr>
    </vt:vector>
  </TitlesOfParts>
  <Company/>
  <LinksUpToDate>false</LinksUpToDate>
  <SharedDoc>false</SharedDoc>
  <HyperlinksChanged>false</HyperlinksChanged>
  <AppVersion>15.0300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Takayuki Hara</dc:creator>
  <cp:lastModifiedBy>Takayuki Hara</cp:lastModifiedBy>
  <dcterms:created xsi:type="dcterms:W3CDTF">2025-10-14T21:41:01Z</dcterms:created>
  <dcterms:modified xsi:type="dcterms:W3CDTF">2025-11-13T22:04:32Z</dcterms:modified>
</cp:coreProperties>
</file>